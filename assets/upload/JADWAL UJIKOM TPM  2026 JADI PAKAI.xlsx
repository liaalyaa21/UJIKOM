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660" windowWidth="14796" windowHeight="7356"/>
  </bookViews>
  <sheets>
    <sheet name="JADWAL" sheetId="1" r:id="rId1"/>
    <sheet name="HONOR" sheetId="3" r:id="rId2"/>
    <sheet name="dafat Mesin" sheetId="4" r:id="rId3"/>
  </sheets>
  <definedNames>
    <definedName name="_xlnm.Print_Area" localSheetId="0">JADWAL!$A$1:$G$179</definedName>
  </definedNames>
  <calcPr calcId="145621"/>
</workbook>
</file>

<file path=xl/calcChain.xml><?xml version="1.0" encoding="utf-8"?>
<calcChain xmlns="http://schemas.openxmlformats.org/spreadsheetml/2006/main">
  <c r="H5" i="3" l="1"/>
  <c r="L4" i="3" s="1"/>
  <c r="H4" i="3"/>
  <c r="E14" i="3" l="1"/>
  <c r="E4" i="3"/>
  <c r="E5" i="3"/>
  <c r="E6" i="3"/>
  <c r="E7" i="3"/>
  <c r="E8" i="3"/>
  <c r="E9" i="3"/>
  <c r="E10" i="3"/>
  <c r="E11" i="3"/>
  <c r="E12" i="3"/>
  <c r="E13" i="3"/>
  <c r="E3" i="3"/>
  <c r="L7" i="3"/>
  <c r="L6" i="3"/>
  <c r="L5" i="3"/>
  <c r="H6" i="3"/>
  <c r="H3" i="3"/>
  <c r="D14" i="3"/>
</calcChain>
</file>

<file path=xl/sharedStrings.xml><?xml version="1.0" encoding="utf-8"?>
<sst xmlns="http://schemas.openxmlformats.org/spreadsheetml/2006/main" count="511" uniqueCount="250">
  <si>
    <t>NO</t>
  </si>
  <si>
    <t>NAMA</t>
  </si>
  <si>
    <t xml:space="preserve">KELAS </t>
  </si>
  <si>
    <t>ARYA HADYMIRZA SUKMANA</t>
  </si>
  <si>
    <t>DANDI ABIDIN</t>
  </si>
  <si>
    <t>FAJAR NUR SHOBAH</t>
  </si>
  <si>
    <t>FASYA RIZKY ALAMSYAH</t>
  </si>
  <si>
    <t>JETA HAIDAR RIFQI</t>
  </si>
  <si>
    <t>LUCKY ALVA FIRDAUS</t>
  </si>
  <si>
    <t>MUHAMMAD ADISTIYO</t>
  </si>
  <si>
    <t>SAEPUL FIKRI PIRMANSAH</t>
  </si>
  <si>
    <t>YOGI AKBAR SANJAYA</t>
  </si>
  <si>
    <t>DEWANTARA SAKTI ADHI</t>
  </si>
  <si>
    <t>MUHAMMAD ADE IWAN KURNIAWAN</t>
  </si>
  <si>
    <t>RISKI ARDIANSYAH</t>
  </si>
  <si>
    <t>SALEH SAIPUDIN</t>
  </si>
  <si>
    <t>MUHAMAD JULFIKAR RAISYA</t>
  </si>
  <si>
    <t>ALFIN ALFADILLAH</t>
  </si>
  <si>
    <t>AWALUDIN</t>
  </si>
  <si>
    <t>ARIF NUR ROHMAN</t>
  </si>
  <si>
    <t>DEDE KUSNARI</t>
  </si>
  <si>
    <t>MUHAMMAD RIZKY NURZAMAN</t>
  </si>
  <si>
    <t>RAFA RASYA AL-BUQORI</t>
  </si>
  <si>
    <t>RITCFIQ NIV DORIS</t>
  </si>
  <si>
    <t>AJI DEFRI NUGRAHA</t>
  </si>
  <si>
    <t>ROBI NUR ALIM</t>
  </si>
  <si>
    <t>MUHAMMAD PARID H</t>
  </si>
  <si>
    <t>ALFA SAFA'AT MAULANA</t>
  </si>
  <si>
    <t>ANDRA HENDARDI</t>
  </si>
  <si>
    <t>BAYU DIANA</t>
  </si>
  <si>
    <t>MUHAMAD IRFAN MAULANA</t>
  </si>
  <si>
    <t>RENDI ARIF HAKIM USMANI</t>
  </si>
  <si>
    <t>NASRUL RUSTANDI</t>
  </si>
  <si>
    <t>RIDWAN RADITA</t>
  </si>
  <si>
    <t>DEFATUROHMAN</t>
  </si>
  <si>
    <t>ALAN LUKMAN</t>
  </si>
  <si>
    <t>IBNU FAJAR EFFENDI</t>
  </si>
  <si>
    <t>GERIL MUHAMAD ARSYIL</t>
  </si>
  <si>
    <t>REZZA ABDUL AZIS</t>
  </si>
  <si>
    <t>AKBARMAULANA</t>
  </si>
  <si>
    <t>ADYTA RIZKI SUDARSYAH</t>
  </si>
  <si>
    <t>TANGGUH KYP JOANTORO</t>
  </si>
  <si>
    <t>AMANDA NUR ' AINI</t>
  </si>
  <si>
    <t>DEA SALSABILA AZZAHRA</t>
  </si>
  <si>
    <t>REPA NOPIAN DINI</t>
  </si>
  <si>
    <t>ARIEF MAULANA</t>
  </si>
  <si>
    <t>FAHRAZ ADITIA PRATAMA</t>
  </si>
  <si>
    <t>FEBA GRAHA PRASETYA</t>
  </si>
  <si>
    <t>HAFID ERLANGGA</t>
  </si>
  <si>
    <t>REZA ICHWAN NUR HAKIM</t>
  </si>
  <si>
    <t>USEP GINANJAR</t>
  </si>
  <si>
    <t>WIRATNU SAMSAIL WIDATAR</t>
  </si>
  <si>
    <t>ABEL NURUL ABDILLAH</t>
  </si>
  <si>
    <t>KRISNA</t>
  </si>
  <si>
    <t>MUHAMAD YUDI GUNTARA</t>
  </si>
  <si>
    <t>MUHAMMAD FIRDAUS SUBAGJA</t>
  </si>
  <si>
    <t>REVAN FAJAR ILHAMMI</t>
  </si>
  <si>
    <t>AGUS HARTONO</t>
  </si>
  <si>
    <t>DARA DIVA ELFARIANA</t>
  </si>
  <si>
    <t>HENDRI HARYADI</t>
  </si>
  <si>
    <t>MUHAMMAD EGI NUR AL IKHMAH</t>
  </si>
  <si>
    <t>NAZWA ALUMA HIMELREICH</t>
  </si>
  <si>
    <t>WULAN MUNZIAH</t>
  </si>
  <si>
    <t>MOCHAMMAD ARIFANSYAH</t>
  </si>
  <si>
    <t>M.NURHAENDI</t>
  </si>
  <si>
    <t>SATRIA RESTU PINANGGIH</t>
  </si>
  <si>
    <t>DEDE PATHUROHMAN</t>
  </si>
  <si>
    <t>SYAFIK ALAIKA</t>
  </si>
  <si>
    <t>ILAN MUSYAROF</t>
  </si>
  <si>
    <t>MUHAMAD RAFLI SAADDILLAH</t>
  </si>
  <si>
    <t>ALDI LUTFAN FAUZI</t>
  </si>
  <si>
    <t>REFI DESPIAWAN</t>
  </si>
  <si>
    <t>HANHAN MUHAMMAD HANAFI</t>
  </si>
  <si>
    <t>FEBI PERMANA</t>
  </si>
  <si>
    <t>LEFI HERDIANA</t>
  </si>
  <si>
    <t>MUHAMMAD DUDI RIDWANSYAH</t>
  </si>
  <si>
    <t>VIRZI PEBRIAN</t>
  </si>
  <si>
    <t>AJIS NURHIDAYAT</t>
  </si>
  <si>
    <t>ANWAR MUDJAKIR</t>
  </si>
  <si>
    <t>DAFFA DIMAS FRANANDA</t>
  </si>
  <si>
    <t>MICHAEL SENAPATI DESILVA</t>
  </si>
  <si>
    <t>NAZRIL ADHIA PASHA</t>
  </si>
  <si>
    <t>RANDI RIANDANI</t>
  </si>
  <si>
    <t>REVAN SAEFUL RAHMAN</t>
  </si>
  <si>
    <t>FERDIANSYAH NUR FAUZI</t>
  </si>
  <si>
    <t>DHAFFA AZWA RIFFA'I</t>
  </si>
  <si>
    <t>EKO HENDRIYANTO PRATAMA</t>
  </si>
  <si>
    <t>CECEP ARDIANSYAH</t>
  </si>
  <si>
    <t>CEP CAHYA</t>
  </si>
  <si>
    <t>FARREL INDRA SETIADI</t>
  </si>
  <si>
    <t>MOHAMAD NOUVAL AMARULLOH</t>
  </si>
  <si>
    <t>MUHAMMAD AR RAAFI SYAFUTRA</t>
  </si>
  <si>
    <t>ROSITA ANGGIANA</t>
  </si>
  <si>
    <t>ADRIAN HIDAYATULLAH</t>
  </si>
  <si>
    <t>EGA SUWARGA</t>
  </si>
  <si>
    <t>AGISTA AZIS MUNANDAR</t>
  </si>
  <si>
    <t>HAFIZ RIZQI ADHIAR</t>
  </si>
  <si>
    <t>LUCKY ZENI SENJAYA</t>
  </si>
  <si>
    <t>NABILA KHAERUNISA</t>
  </si>
  <si>
    <t>SEILOVANIA</t>
  </si>
  <si>
    <t>SUPYAN SYAHRUL HAJ</t>
  </si>
  <si>
    <t>A'ISY AMRULLAH</t>
  </si>
  <si>
    <t>DIMAS AL FITRA RAMADHAN</t>
  </si>
  <si>
    <t>FARELL RESTU PERMANA</t>
  </si>
  <si>
    <t>GALIH MUHAMMAD ILHAM</t>
  </si>
  <si>
    <t>DZIKRILLA QALBY ERTHONIAWAN</t>
  </si>
  <si>
    <t>GALANG PUTRA HARLIANSYAH</t>
  </si>
  <si>
    <t>JAHRAN FABIAN NURDIYANTO</t>
  </si>
  <si>
    <t>RIKO MELANDRI</t>
  </si>
  <si>
    <t>ADE RESTU RAMADANI</t>
  </si>
  <si>
    <t>AGHIL SEPTIAWAN</t>
  </si>
  <si>
    <t>ALDI PUTRA PERDANA</t>
  </si>
  <si>
    <t>FAKHRI RADITYYA HERMAWAN</t>
  </si>
  <si>
    <t>HARIS SETIADI</t>
  </si>
  <si>
    <t>SOFYAN SOFARI</t>
  </si>
  <si>
    <t>TRISNA SEPTIANA</t>
  </si>
  <si>
    <t>DENDRA NUR FADILAH</t>
  </si>
  <si>
    <t>DWI PUTRA PRATAMA</t>
  </si>
  <si>
    <t>LUTHFAN TSAQIB NAHARUL LAIIL</t>
  </si>
  <si>
    <t>FAIZ RACHMADDANY SEPTIA</t>
  </si>
  <si>
    <t>DWI ARIA AURORA</t>
  </si>
  <si>
    <t>ABDUL HAMID</t>
  </si>
  <si>
    <t>ADAM DZULFAQOR</t>
  </si>
  <si>
    <t>ALDI RAMADHAN</t>
  </si>
  <si>
    <t>MOCHAMAD HAIKAL WIALDY</t>
  </si>
  <si>
    <t>RADIP PRATAMA PUTRA</t>
  </si>
  <si>
    <t>RADITYA FAUZA MARSEL</t>
  </si>
  <si>
    <t>DEDE IFAN NUGRAHA</t>
  </si>
  <si>
    <t>DEDE SYUKRON AL PADILAH</t>
  </si>
  <si>
    <t>DWIKI SUBEKTI</t>
  </si>
  <si>
    <t>SOPYAN DIKA SATIA</t>
  </si>
  <si>
    <t>YUSRON MUHAMAD FADHLI</t>
  </si>
  <si>
    <t>RIFKI</t>
  </si>
  <si>
    <t>AHSIN MAHAPUDIN</t>
  </si>
  <si>
    <t>IBNU UBAIDILLAH</t>
  </si>
  <si>
    <t>DIYAS AL FITRA RAMADAN</t>
  </si>
  <si>
    <t>ABDUL HOERUDIN</t>
  </si>
  <si>
    <t>MUHAMAD NOPAL AMBARI</t>
  </si>
  <si>
    <t>AKHDAN MAHYA FADILLAH</t>
  </si>
  <si>
    <t>DANI NUGROHO</t>
  </si>
  <si>
    <t>MUHAMMAD IQBAL AMRULLAH</t>
  </si>
  <si>
    <t>NANA SUGIANA</t>
  </si>
  <si>
    <t>RHAMDAN MAHESYA</t>
  </si>
  <si>
    <t>WILDAN AWALUDIN KHAERI</t>
  </si>
  <si>
    <t>YUDI ARILIANA</t>
  </si>
  <si>
    <t>MOCH. FAQIH</t>
  </si>
  <si>
    <t>ANDRIANSYAH</t>
  </si>
  <si>
    <t>ANGGA PRADITYA</t>
  </si>
  <si>
    <t>MUHAMAD ZABBATH AL ZABBITH</t>
  </si>
  <si>
    <t>RISKY FEBRIANO</t>
  </si>
  <si>
    <t>FADHLI MAULANA FADILLAH</t>
  </si>
  <si>
    <t>RAFFY TEGUH SANTOSO</t>
  </si>
  <si>
    <t>ADIF MAULIDIN</t>
  </si>
  <si>
    <t>OPIN ANUGRAH</t>
  </si>
  <si>
    <t>RIZAL JULIANTO NUGRAHA</t>
  </si>
  <si>
    <t>ANDRE RAMDANI</t>
  </si>
  <si>
    <t>GLENN ALGYS</t>
  </si>
  <si>
    <t>IBRAHIM AJI</t>
  </si>
  <si>
    <t>AJIS SAEPULOH</t>
  </si>
  <si>
    <t>DIAZ SBASTIAN</t>
  </si>
  <si>
    <t>M RIZKY BUDIMAN</t>
  </si>
  <si>
    <t>MUHAMAD LUTHFI NAZIEF</t>
  </si>
  <si>
    <t>RAFLY WAHYU NURHIDAYAT</t>
  </si>
  <si>
    <t>REIHAN AL QORNI</t>
  </si>
  <si>
    <t>REYHAN FAHRI FADILAH</t>
  </si>
  <si>
    <t>XII TP3</t>
  </si>
  <si>
    <t>XII TP5</t>
  </si>
  <si>
    <t>XII TP2</t>
  </si>
  <si>
    <t>XII TP4</t>
  </si>
  <si>
    <t>XII TP1</t>
  </si>
  <si>
    <t>MUHAMMAD KAYLI FAWAZ PRATAMA</t>
  </si>
  <si>
    <t>Jajang Purwanto, S.T.</t>
  </si>
  <si>
    <t>Aristono Adha Hidayat, S.T</t>
  </si>
  <si>
    <t>Tasya, SST.</t>
  </si>
  <si>
    <t>Atim Ratim, S.Pd</t>
  </si>
  <si>
    <t>Rahman Firman Syah, S.Pd</t>
  </si>
  <si>
    <t>Anton Dwi Kusuma, MT</t>
  </si>
  <si>
    <t>Eman Sulaeman, ST</t>
  </si>
  <si>
    <t>Raksa, S.T.</t>
  </si>
  <si>
    <t>Fajar Triprasetyo S.Tr.T</t>
  </si>
  <si>
    <t>Nunu, S. Pd</t>
  </si>
  <si>
    <t xml:space="preserve">RABU, </t>
  </si>
  <si>
    <t>KAMIS</t>
  </si>
  <si>
    <t>NIP. 197105172006041010</t>
  </si>
  <si>
    <t>TAHUN 2026</t>
  </si>
  <si>
    <t xml:space="preserve">WAKTU </t>
  </si>
  <si>
    <t>SENIN</t>
  </si>
  <si>
    <t>SELASA</t>
  </si>
  <si>
    <t>RABU</t>
  </si>
  <si>
    <t>JUMAT</t>
  </si>
  <si>
    <t>Adi Amirulah, A. Md</t>
  </si>
  <si>
    <t>PIKET DAN MAINTENANCE</t>
  </si>
  <si>
    <t>Aristono Adha Hidayat, S. T</t>
  </si>
  <si>
    <t>Senin</t>
  </si>
  <si>
    <t>Selasa</t>
  </si>
  <si>
    <t>SABTU</t>
  </si>
  <si>
    <t>07.30 - 11.30</t>
  </si>
  <si>
    <t>12.30 - 16.30</t>
  </si>
  <si>
    <t>13.00 - 17.00</t>
  </si>
  <si>
    <t>JADWAL  UJI KOMPETENSI</t>
  </si>
  <si>
    <t xml:space="preserve">KONSENTRASI KEAHLIAN TEKNIK PEMESINAN </t>
  </si>
  <si>
    <t>SMK NEGERI  1 MAJALENGKA</t>
  </si>
  <si>
    <t>H. Rohmat,M.Pd.I</t>
  </si>
  <si>
    <t>H. Rohmat, M.Pd.I</t>
  </si>
  <si>
    <t>PENGUJI INDUSTRI</t>
  </si>
  <si>
    <t xml:space="preserve">PUK Teknik Pemesinan </t>
  </si>
  <si>
    <t>BERSAMA PT. AMANAH JAYA PERSADA</t>
  </si>
  <si>
    <t>NIS</t>
  </si>
  <si>
    <t>M RIZKY PAUZAN</t>
  </si>
  <si>
    <t>MOCH. WISNU RAHAYU</t>
  </si>
  <si>
    <t>RIFA ARIFFAI</t>
  </si>
  <si>
    <t>RAGA ABYAKTA BINARA</t>
  </si>
  <si>
    <t>Majalengka, 13 April  2026</t>
  </si>
  <si>
    <t>Raksa. ST</t>
  </si>
  <si>
    <t>JUMLAH PENGAWASAN INTERNAL</t>
  </si>
  <si>
    <t>JML HARI</t>
  </si>
  <si>
    <t>JML SISWA</t>
  </si>
  <si>
    <t>RP</t>
  </si>
  <si>
    <t xml:space="preserve">RINCIAN </t>
  </si>
  <si>
    <t xml:space="preserve">SEKOLAH </t>
  </si>
  <si>
    <t>JUMLAH</t>
  </si>
  <si>
    <t>KURIKULUM</t>
  </si>
  <si>
    <t>JURUSAN</t>
  </si>
  <si>
    <t>Konsumsi</t>
  </si>
  <si>
    <t>makan</t>
  </si>
  <si>
    <t>snack</t>
  </si>
  <si>
    <t>minum</t>
  </si>
  <si>
    <t>spanduk</t>
  </si>
  <si>
    <t>Saldo Jurusan</t>
  </si>
  <si>
    <t>Panitia Kaprog</t>
  </si>
  <si>
    <t>Panitia Kabeng</t>
  </si>
  <si>
    <t>ATK</t>
  </si>
  <si>
    <t>DAFTAR PENGGUNAAN MESIN UJIKOM</t>
  </si>
  <si>
    <t>KELAS</t>
  </si>
  <si>
    <t xml:space="preserve">NO MESIN </t>
  </si>
  <si>
    <t xml:space="preserve"> TANDATANGAN</t>
  </si>
  <si>
    <t>HARI :</t>
  </si>
  <si>
    <t>TANGGAL :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</si>
  <si>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</si>
  <si>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</si>
  <si>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</si>
  <si>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</si>
  <si>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</si>
  <si>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</si>
  <si>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</si>
  <si>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</si>
  <si>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</si>
  <si>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</si>
  <si>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Majalengka, 13 April 2026</t>
  </si>
  <si>
    <t xml:space="preserve">Piket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</si>
</sst>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21]dd\ mmmm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5" xfId="0" applyBorder="1"/>
    <xf numFmtId="0" fontId="0" fillId="0" borderId="6" xfId="0" applyBorder="1"/>
    <xf numFmtId="0" fontId="0" fillId="0" borderId="1" xfId="0" applyFont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0" xfId="0" applyNumberFormat="1"/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0" borderId="12" xfId="0" applyFill="1" applyBorder="1"/>
    <xf numFmtId="0" fontId="0" fillId="0" borderId="10" xfId="0" applyBorder="1"/>
    <xf numFmtId="37" fontId="0" fillId="0" borderId="0" xfId="0" applyNumberFormat="1"/>
    <xf numFmtId="0" fontId="0" fillId="0" borderId="1" xfId="0" applyBorder="1" applyAlignment="1">
      <alignment vertical="center"/>
    </xf>
    <xf numFmtId="37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37" fontId="0" fillId="3" borderId="0" xfId="0" applyNumberFormat="1" applyFill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3" fillId="0" borderId="10" xfId="0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0</xdr:row>
      <xdr:rowOff>199645</xdr:rowOff>
    </xdr:from>
    <xdr:to>
      <xdr:col>10</xdr:col>
      <xdr:colOff>7620</xdr:colOff>
      <xdr:row>4</xdr:row>
      <xdr:rowOff>145652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9240" y="199645"/>
          <a:ext cx="693420" cy="860407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0</xdr:row>
      <xdr:rowOff>81615</xdr:rowOff>
    </xdr:from>
    <xdr:to>
      <xdr:col>6</xdr:col>
      <xdr:colOff>792480</xdr:colOff>
      <xdr:row>3</xdr:row>
      <xdr:rowOff>206343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7040" y="81615"/>
          <a:ext cx="716280" cy="81052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76200</xdr:rowOff>
    </xdr:to>
    <xdr:sp macro="" textlink="">
      <xdr:nvSpPr>
        <xdr:cNvPr id="1026" name="AutoShape 2" descr="SMKN 1 MAJALENGKA - YouTube"/>
        <xdr:cNvSpPr>
          <a:spLocks noChangeAspect="1" noChangeArrowheads="1"/>
        </xdr:cNvSpPr>
      </xdr:nvSpPr>
      <xdr:spPr bwMode="auto">
        <a:xfrm>
          <a:off x="9845040" y="6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190502</xdr:colOff>
      <xdr:row>0</xdr:row>
      <xdr:rowOff>182881</xdr:rowOff>
    </xdr:from>
    <xdr:to>
      <xdr:col>1</xdr:col>
      <xdr:colOff>541462</xdr:colOff>
      <xdr:row>4</xdr:row>
      <xdr:rowOff>38101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2" y="182881"/>
          <a:ext cx="754820" cy="7696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175260</xdr:rowOff>
    </xdr:from>
    <xdr:to>
      <xdr:col>6</xdr:col>
      <xdr:colOff>861135</xdr:colOff>
      <xdr:row>5</xdr:row>
      <xdr:rowOff>45748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20840" y="861060"/>
          <a:ext cx="861135" cy="327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topLeftCell="A115" workbookViewId="0">
      <selection activeCell="M119" sqref="M119"/>
    </sheetView>
  </sheetViews>
  <sheetFormatPr defaultRowHeight="14.4" x14ac:dyDescent="0.3"/>
  <cols>
    <col min="1" max="1" width="5.88671875" customWidth="1"/>
    <col min="2" max="2" width="29.21875" customWidth="1"/>
    <col min="3" max="3" width="11.6640625" customWidth="1"/>
    <col min="4" max="4" width="7.88671875" customWidth="1"/>
    <col min="5" max="5" width="18.88671875" customWidth="1"/>
    <col min="6" max="6" width="24.44140625" customWidth="1"/>
    <col min="7" max="7" width="13.88671875" customWidth="1"/>
    <col min="10" max="10" width="13.88671875" customWidth="1"/>
    <col min="11" max="11" width="12.88671875" customWidth="1"/>
    <col min="15" max="15" width="10.6640625" customWidth="1"/>
  </cols>
  <sheetData>
    <row r="1" spans="1:14" ht="18" x14ac:dyDescent="0.35">
      <c r="A1" s="42" t="s">
        <v>199</v>
      </c>
      <c r="B1" s="42"/>
      <c r="C1" s="42"/>
      <c r="D1" s="42"/>
      <c r="E1" s="42"/>
      <c r="F1" s="42"/>
      <c r="G1" s="42"/>
    </row>
    <row r="2" spans="1:14" ht="18" customHeight="1" x14ac:dyDescent="0.35">
      <c r="A2" s="43" t="s">
        <v>206</v>
      </c>
      <c r="B2" s="43"/>
      <c r="C2" s="43"/>
      <c r="D2" s="43"/>
      <c r="E2" s="43"/>
      <c r="F2" s="43"/>
      <c r="G2" s="43"/>
    </row>
    <row r="3" spans="1:14" ht="18" x14ac:dyDescent="0.35">
      <c r="A3" s="42" t="s">
        <v>200</v>
      </c>
      <c r="B3" s="42"/>
      <c r="C3" s="42"/>
      <c r="D3" s="42"/>
      <c r="E3" s="42"/>
      <c r="F3" s="42"/>
      <c r="G3" s="42"/>
    </row>
    <row r="4" spans="1:14" ht="18" x14ac:dyDescent="0.35">
      <c r="A4" s="42" t="s">
        <v>201</v>
      </c>
      <c r="B4" s="42"/>
      <c r="C4" s="42"/>
      <c r="D4" s="42"/>
      <c r="E4" s="42"/>
      <c r="F4" s="42"/>
      <c r="G4" s="42"/>
    </row>
    <row r="5" spans="1:14" ht="18" x14ac:dyDescent="0.35">
      <c r="A5" s="42" t="s">
        <v>184</v>
      </c>
      <c r="B5" s="42"/>
      <c r="C5" s="42"/>
      <c r="D5" s="42"/>
      <c r="E5" s="42"/>
      <c r="F5" s="42"/>
      <c r="G5" s="42"/>
    </row>
    <row r="6" spans="1:14" ht="19.95" customHeight="1" thickBot="1" x14ac:dyDescent="0.35">
      <c r="A6" s="3" t="s">
        <v>0</v>
      </c>
      <c r="B6" s="3" t="s">
        <v>1</v>
      </c>
      <c r="C6" s="3" t="s">
        <v>207</v>
      </c>
      <c r="D6" s="3" t="s">
        <v>2</v>
      </c>
      <c r="E6" s="3" t="s">
        <v>204</v>
      </c>
      <c r="F6" s="3" t="s">
        <v>191</v>
      </c>
      <c r="G6" s="3" t="s">
        <v>185</v>
      </c>
    </row>
    <row r="7" spans="1:14" ht="15" thickTop="1" x14ac:dyDescent="0.3">
      <c r="A7" s="4">
        <v>1</v>
      </c>
      <c r="B7" s="2" t="s">
        <v>101</v>
      </c>
      <c r="C7" s="13">
        <v>102320508</v>
      </c>
      <c r="D7" s="13" t="s">
        <v>169</v>
      </c>
      <c r="E7" s="7"/>
      <c r="F7" s="7"/>
      <c r="G7" s="17"/>
      <c r="N7" t="s">
        <v>180</v>
      </c>
    </row>
    <row r="8" spans="1:14" x14ac:dyDescent="0.3">
      <c r="A8" s="5">
        <v>2</v>
      </c>
      <c r="B8" s="1" t="s">
        <v>24</v>
      </c>
      <c r="C8" s="14">
        <v>102320509</v>
      </c>
      <c r="D8" s="14" t="s">
        <v>169</v>
      </c>
      <c r="E8" s="25"/>
      <c r="F8" s="7"/>
      <c r="G8" s="18"/>
      <c r="N8" t="s">
        <v>172</v>
      </c>
    </row>
    <row r="9" spans="1:14" x14ac:dyDescent="0.3">
      <c r="A9" s="5">
        <v>3</v>
      </c>
      <c r="B9" s="1" t="s">
        <v>138</v>
      </c>
      <c r="C9" s="14">
        <v>102320510</v>
      </c>
      <c r="D9" s="14" t="s">
        <v>169</v>
      </c>
      <c r="E9" s="25"/>
      <c r="F9" s="7"/>
      <c r="G9" s="18"/>
      <c r="N9" t="s">
        <v>202</v>
      </c>
    </row>
    <row r="10" spans="1:14" x14ac:dyDescent="0.3">
      <c r="A10" s="5">
        <v>4</v>
      </c>
      <c r="B10" s="1" t="s">
        <v>17</v>
      </c>
      <c r="C10" s="14">
        <v>102320512</v>
      </c>
      <c r="D10" s="14" t="s">
        <v>169</v>
      </c>
      <c r="E10" s="25" t="s">
        <v>190</v>
      </c>
      <c r="F10" s="7" t="s">
        <v>180</v>
      </c>
      <c r="G10" s="18" t="s">
        <v>193</v>
      </c>
      <c r="I10">
        <v>1</v>
      </c>
      <c r="N10" t="s">
        <v>175</v>
      </c>
    </row>
    <row r="11" spans="1:14" x14ac:dyDescent="0.3">
      <c r="A11" s="5">
        <v>5</v>
      </c>
      <c r="B11" s="1" t="s">
        <v>18</v>
      </c>
      <c r="C11" s="14">
        <v>102320513</v>
      </c>
      <c r="D11" s="14" t="s">
        <v>169</v>
      </c>
      <c r="E11" s="25"/>
      <c r="F11" s="7" t="s">
        <v>192</v>
      </c>
      <c r="G11" s="19">
        <v>46125</v>
      </c>
      <c r="I11">
        <v>1</v>
      </c>
      <c r="N11" t="s">
        <v>174</v>
      </c>
    </row>
    <row r="12" spans="1:14" x14ac:dyDescent="0.3">
      <c r="A12" s="4">
        <v>6</v>
      </c>
      <c r="B12" s="1" t="s">
        <v>87</v>
      </c>
      <c r="C12" s="14">
        <v>102320514</v>
      </c>
      <c r="D12" s="14" t="s">
        <v>169</v>
      </c>
      <c r="E12" s="25"/>
      <c r="F12" s="7"/>
      <c r="G12" s="18" t="s">
        <v>196</v>
      </c>
      <c r="N12" t="s">
        <v>179</v>
      </c>
    </row>
    <row r="13" spans="1:14" x14ac:dyDescent="0.3">
      <c r="A13" s="5">
        <v>7</v>
      </c>
      <c r="B13" s="1" t="s">
        <v>88</v>
      </c>
      <c r="C13" s="14">
        <v>102320515</v>
      </c>
      <c r="D13" s="14" t="s">
        <v>169</v>
      </c>
      <c r="E13" s="25"/>
      <c r="F13" s="7"/>
      <c r="G13" s="18"/>
      <c r="N13" t="s">
        <v>177</v>
      </c>
    </row>
    <row r="14" spans="1:14" x14ac:dyDescent="0.3">
      <c r="A14" s="5">
        <v>8</v>
      </c>
      <c r="B14" s="1" t="s">
        <v>139</v>
      </c>
      <c r="C14" s="14">
        <v>102320516</v>
      </c>
      <c r="D14" s="14" t="s">
        <v>169</v>
      </c>
      <c r="E14" s="25"/>
      <c r="F14" s="7"/>
      <c r="G14" s="18"/>
      <c r="N14" t="s">
        <v>171</v>
      </c>
    </row>
    <row r="15" spans="1:14" x14ac:dyDescent="0.3">
      <c r="A15" s="5">
        <v>9</v>
      </c>
      <c r="B15" s="1" t="s">
        <v>85</v>
      </c>
      <c r="C15" s="14">
        <v>102320517</v>
      </c>
      <c r="D15" s="14" t="s">
        <v>169</v>
      </c>
      <c r="E15" s="25"/>
      <c r="F15" s="7"/>
      <c r="G15" s="18"/>
      <c r="N15" t="s">
        <v>176</v>
      </c>
    </row>
    <row r="16" spans="1:14" x14ac:dyDescent="0.3">
      <c r="A16" s="5">
        <v>10</v>
      </c>
      <c r="B16" s="1" t="s">
        <v>135</v>
      </c>
      <c r="C16" s="14">
        <v>102320518</v>
      </c>
      <c r="D16" s="14" t="s">
        <v>169</v>
      </c>
      <c r="E16" s="25"/>
      <c r="F16" s="7"/>
      <c r="G16" s="18"/>
      <c r="N16" t="s">
        <v>173</v>
      </c>
    </row>
    <row r="17" spans="1:14" x14ac:dyDescent="0.3">
      <c r="A17" s="4">
        <v>11</v>
      </c>
      <c r="B17" s="1" t="s">
        <v>120</v>
      </c>
      <c r="C17" s="14">
        <v>102320519</v>
      </c>
      <c r="D17" s="14" t="s">
        <v>169</v>
      </c>
      <c r="E17" s="26"/>
      <c r="F17" s="6"/>
      <c r="G17" s="20"/>
      <c r="J17" s="16"/>
      <c r="N17" t="s">
        <v>213</v>
      </c>
    </row>
    <row r="18" spans="1:14" x14ac:dyDescent="0.3">
      <c r="A18" s="5">
        <v>12</v>
      </c>
      <c r="B18" s="1" t="s">
        <v>117</v>
      </c>
      <c r="C18" s="14">
        <v>102320520</v>
      </c>
      <c r="D18" s="14" t="s">
        <v>169</v>
      </c>
      <c r="E18" s="25"/>
      <c r="F18" s="7"/>
      <c r="G18" s="18"/>
      <c r="J18" s="16"/>
    </row>
    <row r="19" spans="1:14" x14ac:dyDescent="0.3">
      <c r="A19" s="5">
        <v>13</v>
      </c>
      <c r="B19" s="1" t="s">
        <v>86</v>
      </c>
      <c r="C19" s="14">
        <v>102320521</v>
      </c>
      <c r="D19" s="14" t="s">
        <v>169</v>
      </c>
      <c r="E19" s="25"/>
      <c r="F19" s="7"/>
      <c r="G19" s="18"/>
      <c r="J19" s="16"/>
    </row>
    <row r="20" spans="1:14" x14ac:dyDescent="0.3">
      <c r="A20" s="5">
        <v>14</v>
      </c>
      <c r="B20" s="1" t="s">
        <v>112</v>
      </c>
      <c r="C20" s="14">
        <v>102320522</v>
      </c>
      <c r="D20" s="14" t="s">
        <v>169</v>
      </c>
      <c r="E20" s="25"/>
      <c r="F20" s="7"/>
      <c r="G20" s="18"/>
      <c r="J20" s="16"/>
    </row>
    <row r="21" spans="1:14" x14ac:dyDescent="0.3">
      <c r="A21" s="5">
        <v>15</v>
      </c>
      <c r="B21" s="1" t="s">
        <v>89</v>
      </c>
      <c r="C21" s="14">
        <v>102320523</v>
      </c>
      <c r="D21" s="14" t="s">
        <v>169</v>
      </c>
      <c r="E21" s="25" t="s">
        <v>190</v>
      </c>
      <c r="F21" s="7" t="s">
        <v>202</v>
      </c>
      <c r="G21" s="18" t="s">
        <v>193</v>
      </c>
      <c r="I21">
        <v>1</v>
      </c>
      <c r="J21" s="16"/>
    </row>
    <row r="22" spans="1:14" x14ac:dyDescent="0.3">
      <c r="A22" s="4">
        <v>16</v>
      </c>
      <c r="B22" s="1" t="s">
        <v>84</v>
      </c>
      <c r="C22" s="14">
        <v>102320524</v>
      </c>
      <c r="D22" s="14" t="s">
        <v>169</v>
      </c>
      <c r="E22" s="23"/>
      <c r="F22" t="s">
        <v>175</v>
      </c>
      <c r="G22" s="19">
        <v>46125</v>
      </c>
      <c r="I22">
        <v>1</v>
      </c>
      <c r="J22" s="16"/>
    </row>
    <row r="23" spans="1:14" x14ac:dyDescent="0.3">
      <c r="A23" s="5">
        <v>17</v>
      </c>
      <c r="B23" s="1" t="s">
        <v>36</v>
      </c>
      <c r="C23" s="14">
        <v>102320526</v>
      </c>
      <c r="D23" s="14" t="s">
        <v>169</v>
      </c>
      <c r="E23" s="25"/>
      <c r="F23" s="7"/>
      <c r="G23" s="18" t="s">
        <v>197</v>
      </c>
      <c r="J23" s="16"/>
    </row>
    <row r="24" spans="1:14" x14ac:dyDescent="0.3">
      <c r="A24" s="5">
        <v>18</v>
      </c>
      <c r="B24" s="1" t="s">
        <v>118</v>
      </c>
      <c r="C24" s="14">
        <v>102320527</v>
      </c>
      <c r="D24" s="14" t="s">
        <v>169</v>
      </c>
      <c r="E24" s="25"/>
      <c r="F24" s="7"/>
      <c r="G24" s="18"/>
      <c r="J24" s="16"/>
    </row>
    <row r="25" spans="1:14" x14ac:dyDescent="0.3">
      <c r="A25" s="5">
        <v>19</v>
      </c>
      <c r="B25" s="1" t="s">
        <v>90</v>
      </c>
      <c r="C25" s="14">
        <v>102320528</v>
      </c>
      <c r="D25" s="14" t="s">
        <v>169</v>
      </c>
      <c r="E25" s="25"/>
      <c r="F25" s="7"/>
      <c r="G25" s="18"/>
      <c r="J25" s="16"/>
    </row>
    <row r="26" spans="1:14" x14ac:dyDescent="0.3">
      <c r="A26" s="5">
        <v>20</v>
      </c>
      <c r="B26" s="1" t="s">
        <v>91</v>
      </c>
      <c r="C26" s="14">
        <v>102320529</v>
      </c>
      <c r="D26" s="14" t="s">
        <v>169</v>
      </c>
      <c r="E26" s="25"/>
      <c r="F26" s="7"/>
      <c r="G26" s="18"/>
      <c r="J26" s="16"/>
    </row>
    <row r="27" spans="1:14" x14ac:dyDescent="0.3">
      <c r="A27" s="4">
        <v>21</v>
      </c>
      <c r="B27" s="1" t="s">
        <v>140</v>
      </c>
      <c r="C27" s="14">
        <v>102320530</v>
      </c>
      <c r="D27" s="14" t="s">
        <v>169</v>
      </c>
      <c r="E27" s="26"/>
      <c r="F27" s="6"/>
      <c r="G27" s="20"/>
      <c r="J27" s="16"/>
    </row>
    <row r="28" spans="1:14" x14ac:dyDescent="0.3">
      <c r="A28" s="5">
        <v>22</v>
      </c>
      <c r="B28" s="1" t="s">
        <v>141</v>
      </c>
      <c r="C28" s="14">
        <v>102320531</v>
      </c>
      <c r="D28" s="14" t="s">
        <v>169</v>
      </c>
      <c r="E28" s="25"/>
      <c r="F28" s="7"/>
      <c r="G28" s="18"/>
      <c r="J28" s="16"/>
    </row>
    <row r="29" spans="1:14" x14ac:dyDescent="0.3">
      <c r="A29" s="5">
        <v>23</v>
      </c>
      <c r="B29" s="1" t="s">
        <v>32</v>
      </c>
      <c r="C29" s="14">
        <v>102320532</v>
      </c>
      <c r="D29" s="14" t="s">
        <v>169</v>
      </c>
      <c r="E29" s="25"/>
      <c r="F29" s="7"/>
      <c r="G29" s="18"/>
      <c r="J29" s="16"/>
    </row>
    <row r="30" spans="1:14" x14ac:dyDescent="0.3">
      <c r="A30" s="5">
        <v>24</v>
      </c>
      <c r="B30" s="1" t="s">
        <v>81</v>
      </c>
      <c r="C30" s="14">
        <v>102320533</v>
      </c>
      <c r="D30" s="14" t="s">
        <v>169</v>
      </c>
      <c r="E30" s="25"/>
      <c r="F30" s="7"/>
      <c r="G30" s="18" t="s">
        <v>194</v>
      </c>
      <c r="J30" s="16"/>
    </row>
    <row r="31" spans="1:14" x14ac:dyDescent="0.3">
      <c r="A31" s="5">
        <v>25</v>
      </c>
      <c r="B31" s="1" t="s">
        <v>61</v>
      </c>
      <c r="C31" s="14">
        <v>102320534</v>
      </c>
      <c r="D31" s="14" t="s">
        <v>169</v>
      </c>
      <c r="E31" s="23" t="s">
        <v>190</v>
      </c>
      <c r="F31" t="s">
        <v>174</v>
      </c>
      <c r="G31" s="19">
        <v>46126</v>
      </c>
      <c r="I31">
        <v>1</v>
      </c>
      <c r="J31" s="16"/>
    </row>
    <row r="32" spans="1:14" x14ac:dyDescent="0.3">
      <c r="A32" s="4">
        <v>26</v>
      </c>
      <c r="B32" s="1" t="s">
        <v>82</v>
      </c>
      <c r="C32" s="14">
        <v>102320535</v>
      </c>
      <c r="D32" s="14" t="s">
        <v>169</v>
      </c>
      <c r="E32" s="25"/>
      <c r="F32" s="7" t="s">
        <v>179</v>
      </c>
      <c r="G32" s="18" t="s">
        <v>196</v>
      </c>
      <c r="I32">
        <v>1</v>
      </c>
      <c r="J32" s="16"/>
    </row>
    <row r="33" spans="1:10" x14ac:dyDescent="0.3">
      <c r="A33" s="5">
        <v>27</v>
      </c>
      <c r="B33" s="1" t="s">
        <v>83</v>
      </c>
      <c r="C33" s="14">
        <v>102320536</v>
      </c>
      <c r="D33" s="14" t="s">
        <v>169</v>
      </c>
      <c r="E33" s="25"/>
      <c r="F33" s="7"/>
      <c r="G33" s="18"/>
    </row>
    <row r="34" spans="1:10" x14ac:dyDescent="0.3">
      <c r="A34" s="5">
        <v>28</v>
      </c>
      <c r="B34" s="1" t="s">
        <v>142</v>
      </c>
      <c r="C34" s="14">
        <v>102320537</v>
      </c>
      <c r="D34" s="14" t="s">
        <v>169</v>
      </c>
      <c r="E34" s="25"/>
      <c r="F34" s="7"/>
      <c r="G34" s="18"/>
      <c r="J34" s="16"/>
    </row>
    <row r="35" spans="1:10" x14ac:dyDescent="0.3">
      <c r="A35" s="5">
        <v>29</v>
      </c>
      <c r="B35" s="1" t="s">
        <v>33</v>
      </c>
      <c r="C35" s="14">
        <v>102320538</v>
      </c>
      <c r="D35" s="14" t="s">
        <v>169</v>
      </c>
      <c r="E35" s="25"/>
      <c r="F35" s="7"/>
      <c r="G35" s="18"/>
      <c r="J35" s="16"/>
    </row>
    <row r="36" spans="1:10" x14ac:dyDescent="0.3">
      <c r="A36" s="5">
        <v>30</v>
      </c>
      <c r="B36" s="1" t="s">
        <v>25</v>
      </c>
      <c r="C36" s="14">
        <v>102320539</v>
      </c>
      <c r="D36" s="14" t="s">
        <v>169</v>
      </c>
      <c r="E36" s="25"/>
      <c r="F36" s="7"/>
      <c r="G36" s="18"/>
      <c r="J36" s="16"/>
    </row>
    <row r="37" spans="1:10" x14ac:dyDescent="0.3">
      <c r="A37" s="4">
        <v>31</v>
      </c>
      <c r="B37" s="1" t="s">
        <v>92</v>
      </c>
      <c r="C37" s="14">
        <v>102320540</v>
      </c>
      <c r="D37" s="14" t="s">
        <v>169</v>
      </c>
      <c r="E37" s="26"/>
      <c r="F37" s="6"/>
      <c r="G37" s="20"/>
      <c r="J37" s="16"/>
    </row>
    <row r="38" spans="1:10" x14ac:dyDescent="0.3">
      <c r="A38" s="5">
        <v>32</v>
      </c>
      <c r="B38" s="1" t="s">
        <v>143</v>
      </c>
      <c r="C38" s="14">
        <v>102320541</v>
      </c>
      <c r="D38" s="14" t="s">
        <v>169</v>
      </c>
      <c r="E38" s="25"/>
      <c r="F38" s="7"/>
      <c r="G38" s="18"/>
      <c r="J38" s="16"/>
    </row>
    <row r="39" spans="1:10" x14ac:dyDescent="0.3">
      <c r="A39" s="5">
        <v>33</v>
      </c>
      <c r="B39" s="1" t="s">
        <v>62</v>
      </c>
      <c r="C39" s="14">
        <v>102320542</v>
      </c>
      <c r="D39" s="14" t="s">
        <v>169</v>
      </c>
      <c r="E39" s="25"/>
      <c r="F39" s="7"/>
      <c r="G39" s="18"/>
    </row>
    <row r="40" spans="1:10" x14ac:dyDescent="0.3">
      <c r="A40" s="5">
        <v>34</v>
      </c>
      <c r="B40" s="1" t="s">
        <v>144</v>
      </c>
      <c r="C40" s="14">
        <v>102320543</v>
      </c>
      <c r="D40" s="14" t="s">
        <v>169</v>
      </c>
      <c r="E40" s="25"/>
      <c r="F40" s="7"/>
      <c r="G40" s="18"/>
    </row>
    <row r="41" spans="1:10" x14ac:dyDescent="0.3">
      <c r="A41" s="5">
        <v>35</v>
      </c>
      <c r="B41" s="1" t="s">
        <v>121</v>
      </c>
      <c r="C41" s="5">
        <v>102320544</v>
      </c>
      <c r="D41" s="14" t="s">
        <v>167</v>
      </c>
      <c r="E41" s="25"/>
      <c r="F41" s="7"/>
      <c r="G41" s="18" t="s">
        <v>194</v>
      </c>
    </row>
    <row r="42" spans="1:10" x14ac:dyDescent="0.3">
      <c r="A42" s="4">
        <v>36</v>
      </c>
      <c r="B42" s="1" t="s">
        <v>136</v>
      </c>
      <c r="C42" s="5">
        <v>102320545</v>
      </c>
      <c r="D42" s="14" t="s">
        <v>167</v>
      </c>
      <c r="E42" s="23" t="s">
        <v>190</v>
      </c>
      <c r="F42" t="s">
        <v>177</v>
      </c>
      <c r="G42" s="19">
        <v>46126</v>
      </c>
      <c r="I42">
        <v>1</v>
      </c>
    </row>
    <row r="43" spans="1:10" x14ac:dyDescent="0.3">
      <c r="A43" s="5">
        <v>37</v>
      </c>
      <c r="B43" s="12" t="s">
        <v>122</v>
      </c>
      <c r="C43" s="31">
        <v>102320547</v>
      </c>
      <c r="D43" s="15" t="s">
        <v>167</v>
      </c>
      <c r="E43" s="25"/>
      <c r="F43" s="7" t="s">
        <v>171</v>
      </c>
      <c r="G43" s="18" t="s">
        <v>197</v>
      </c>
      <c r="I43">
        <v>1</v>
      </c>
    </row>
    <row r="44" spans="1:10" x14ac:dyDescent="0.3">
      <c r="A44" s="5">
        <v>38</v>
      </c>
      <c r="B44" s="1" t="s">
        <v>152</v>
      </c>
      <c r="C44" s="5">
        <v>102320548</v>
      </c>
      <c r="D44" s="14" t="s">
        <v>167</v>
      </c>
      <c r="E44" s="25"/>
      <c r="F44" s="7"/>
      <c r="G44" s="18"/>
    </row>
    <row r="45" spans="1:10" x14ac:dyDescent="0.3">
      <c r="A45" s="5">
        <v>39</v>
      </c>
      <c r="B45" s="1" t="s">
        <v>77</v>
      </c>
      <c r="C45" s="5">
        <v>102320549</v>
      </c>
      <c r="D45" s="14" t="s">
        <v>167</v>
      </c>
      <c r="E45" s="25"/>
      <c r="F45" s="7"/>
      <c r="G45" s="18"/>
    </row>
    <row r="46" spans="1:10" x14ac:dyDescent="0.3">
      <c r="A46" s="5">
        <v>40</v>
      </c>
      <c r="B46" s="1" t="s">
        <v>123</v>
      </c>
      <c r="C46" s="5">
        <v>102320550</v>
      </c>
      <c r="D46" s="14" t="s">
        <v>167</v>
      </c>
      <c r="E46" s="25"/>
      <c r="F46" s="7"/>
      <c r="G46" s="18"/>
    </row>
    <row r="47" spans="1:10" x14ac:dyDescent="0.3">
      <c r="A47" s="5">
        <v>41</v>
      </c>
      <c r="B47" s="1" t="s">
        <v>42</v>
      </c>
      <c r="C47" s="5">
        <v>102320551</v>
      </c>
      <c r="D47" s="14" t="s">
        <v>167</v>
      </c>
      <c r="E47" s="26"/>
      <c r="F47" s="6"/>
      <c r="G47" s="20"/>
    </row>
    <row r="48" spans="1:10" x14ac:dyDescent="0.3">
      <c r="A48" s="5">
        <v>42</v>
      </c>
      <c r="B48" s="1" t="s">
        <v>78</v>
      </c>
      <c r="C48" s="5">
        <v>102320552</v>
      </c>
      <c r="D48" s="14" t="s">
        <v>167</v>
      </c>
      <c r="E48" s="25"/>
      <c r="F48" s="7"/>
      <c r="G48" s="18"/>
    </row>
    <row r="49" spans="1:9" x14ac:dyDescent="0.3">
      <c r="A49" s="5">
        <v>43</v>
      </c>
      <c r="B49" s="1" t="s">
        <v>79</v>
      </c>
      <c r="C49" s="5">
        <v>102320553</v>
      </c>
      <c r="D49" s="14" t="s">
        <v>167</v>
      </c>
      <c r="E49" s="25"/>
      <c r="F49" s="7"/>
      <c r="G49" s="18"/>
    </row>
    <row r="50" spans="1:9" x14ac:dyDescent="0.3">
      <c r="A50" s="5">
        <v>44</v>
      </c>
      <c r="B50" s="1" t="s">
        <v>43</v>
      </c>
      <c r="C50" s="5">
        <v>102320554</v>
      </c>
      <c r="D50" s="14" t="s">
        <v>167</v>
      </c>
      <c r="E50" s="25"/>
      <c r="F50" s="7"/>
      <c r="G50" s="18"/>
    </row>
    <row r="51" spans="1:9" x14ac:dyDescent="0.3">
      <c r="A51" s="5">
        <v>45</v>
      </c>
      <c r="B51" s="1" t="s">
        <v>102</v>
      </c>
      <c r="C51" s="5">
        <v>102320556</v>
      </c>
      <c r="D51" s="14" t="s">
        <v>167</v>
      </c>
      <c r="E51" s="25"/>
      <c r="F51" s="7"/>
      <c r="G51" s="18" t="s">
        <v>181</v>
      </c>
    </row>
    <row r="52" spans="1:9" x14ac:dyDescent="0.3">
      <c r="A52" s="5">
        <v>46</v>
      </c>
      <c r="B52" s="1" t="s">
        <v>119</v>
      </c>
      <c r="C52" s="5">
        <v>102320557</v>
      </c>
      <c r="D52" s="14" t="s">
        <v>167</v>
      </c>
      <c r="E52" s="23" t="s">
        <v>190</v>
      </c>
      <c r="F52" t="s">
        <v>176</v>
      </c>
      <c r="G52" s="19">
        <v>46127</v>
      </c>
      <c r="I52">
        <v>1</v>
      </c>
    </row>
    <row r="53" spans="1:9" x14ac:dyDescent="0.3">
      <c r="A53" s="5">
        <v>47</v>
      </c>
      <c r="B53" s="1" t="s">
        <v>37</v>
      </c>
      <c r="C53" s="5">
        <v>102320560</v>
      </c>
      <c r="D53" s="14" t="s">
        <v>167</v>
      </c>
      <c r="E53" s="25"/>
      <c r="F53" s="7" t="s">
        <v>173</v>
      </c>
      <c r="G53" s="18" t="s">
        <v>196</v>
      </c>
      <c r="I53">
        <v>1</v>
      </c>
    </row>
    <row r="54" spans="1:9" x14ac:dyDescent="0.3">
      <c r="A54" s="5">
        <v>48</v>
      </c>
      <c r="B54" s="1" t="s">
        <v>53</v>
      </c>
      <c r="C54" s="5">
        <v>102320562</v>
      </c>
      <c r="D54" s="14" t="s">
        <v>167</v>
      </c>
      <c r="E54" s="25"/>
      <c r="F54" s="7"/>
      <c r="G54" s="18"/>
    </row>
    <row r="55" spans="1:9" x14ac:dyDescent="0.3">
      <c r="A55" s="5">
        <v>49</v>
      </c>
      <c r="B55" s="1" t="s">
        <v>145</v>
      </c>
      <c r="C55" s="5">
        <v>102320564</v>
      </c>
      <c r="D55" s="14" t="s">
        <v>167</v>
      </c>
      <c r="E55" s="25"/>
      <c r="F55" s="7"/>
      <c r="G55" s="18"/>
    </row>
    <row r="56" spans="1:9" x14ac:dyDescent="0.3">
      <c r="A56" s="5">
        <v>50</v>
      </c>
      <c r="B56" s="1" t="s">
        <v>124</v>
      </c>
      <c r="C56" s="5">
        <v>102320565</v>
      </c>
      <c r="D56" s="14" t="s">
        <v>167</v>
      </c>
      <c r="E56" s="25"/>
      <c r="F56" s="7"/>
      <c r="G56" s="18"/>
    </row>
    <row r="57" spans="1:9" x14ac:dyDescent="0.3">
      <c r="A57" s="5">
        <v>51</v>
      </c>
      <c r="B57" s="1" t="s">
        <v>137</v>
      </c>
      <c r="C57" s="5">
        <v>102320566</v>
      </c>
      <c r="D57" s="14" t="s">
        <v>167</v>
      </c>
      <c r="E57" s="26"/>
      <c r="F57" s="6"/>
      <c r="G57" s="20"/>
    </row>
    <row r="58" spans="1:9" x14ac:dyDescent="0.3">
      <c r="A58" s="5">
        <v>52</v>
      </c>
      <c r="B58" s="1" t="s">
        <v>54</v>
      </c>
      <c r="C58" s="5">
        <v>102320567</v>
      </c>
      <c r="D58" s="14" t="s">
        <v>167</v>
      </c>
      <c r="E58" s="25"/>
      <c r="F58" s="7"/>
      <c r="G58" s="18"/>
    </row>
    <row r="59" spans="1:9" x14ac:dyDescent="0.3">
      <c r="A59" s="5">
        <v>53</v>
      </c>
      <c r="B59" s="1" t="s">
        <v>55</v>
      </c>
      <c r="C59" s="5">
        <v>102320568</v>
      </c>
      <c r="D59" s="14" t="s">
        <v>167</v>
      </c>
      <c r="E59" s="25"/>
      <c r="F59" s="7"/>
      <c r="G59" s="18"/>
    </row>
    <row r="60" spans="1:9" x14ac:dyDescent="0.3">
      <c r="A60" s="5">
        <v>54</v>
      </c>
      <c r="B60" s="1" t="s">
        <v>170</v>
      </c>
      <c r="C60" s="5">
        <v>102320569</v>
      </c>
      <c r="D60" s="14" t="s">
        <v>167</v>
      </c>
      <c r="E60" s="25"/>
      <c r="F60" s="7"/>
      <c r="G60" s="18"/>
    </row>
    <row r="61" spans="1:9" x14ac:dyDescent="0.3">
      <c r="A61" s="5">
        <v>55</v>
      </c>
      <c r="B61" s="1" t="s">
        <v>26</v>
      </c>
      <c r="C61" s="5">
        <v>102320570</v>
      </c>
      <c r="D61" s="14" t="s">
        <v>167</v>
      </c>
      <c r="E61" s="25"/>
      <c r="F61" s="7" t="s">
        <v>180</v>
      </c>
      <c r="G61" s="18" t="s">
        <v>181</v>
      </c>
      <c r="I61">
        <v>2</v>
      </c>
    </row>
    <row r="62" spans="1:9" x14ac:dyDescent="0.3">
      <c r="A62" s="5">
        <v>56</v>
      </c>
      <c r="B62" s="1" t="s">
        <v>153</v>
      </c>
      <c r="C62" s="5">
        <v>102320571</v>
      </c>
      <c r="D62" s="14" t="s">
        <v>167</v>
      </c>
      <c r="E62" s="23" t="s">
        <v>190</v>
      </c>
      <c r="F62" t="s">
        <v>178</v>
      </c>
      <c r="G62" s="19">
        <v>46127</v>
      </c>
      <c r="I62">
        <v>1</v>
      </c>
    </row>
    <row r="63" spans="1:9" x14ac:dyDescent="0.3">
      <c r="A63" s="5">
        <v>57</v>
      </c>
      <c r="B63" s="1" t="s">
        <v>125</v>
      </c>
      <c r="C63" s="5">
        <v>102320572</v>
      </c>
      <c r="D63" s="14" t="s">
        <v>167</v>
      </c>
      <c r="E63" s="25"/>
      <c r="F63" s="7"/>
      <c r="G63" s="18" t="s">
        <v>197</v>
      </c>
    </row>
    <row r="64" spans="1:9" x14ac:dyDescent="0.3">
      <c r="A64" s="5">
        <v>58</v>
      </c>
      <c r="B64" s="1" t="s">
        <v>126</v>
      </c>
      <c r="C64" s="5">
        <v>102320573</v>
      </c>
      <c r="D64" s="14" t="s">
        <v>167</v>
      </c>
      <c r="E64" s="25"/>
      <c r="F64" s="7"/>
      <c r="G64" s="18"/>
    </row>
    <row r="65" spans="1:9" x14ac:dyDescent="0.3">
      <c r="A65" s="5">
        <v>59</v>
      </c>
      <c r="B65" s="1" t="s">
        <v>56</v>
      </c>
      <c r="C65" s="5">
        <v>102320575</v>
      </c>
      <c r="D65" s="14" t="s">
        <v>167</v>
      </c>
      <c r="E65" s="25"/>
      <c r="F65" s="7"/>
      <c r="G65" s="18"/>
    </row>
    <row r="66" spans="1:9" x14ac:dyDescent="0.3">
      <c r="A66" s="5">
        <v>60</v>
      </c>
      <c r="B66" s="1" t="s">
        <v>38</v>
      </c>
      <c r="C66" s="5">
        <v>102320576</v>
      </c>
      <c r="D66" s="14" t="s">
        <v>167</v>
      </c>
      <c r="E66" s="27"/>
      <c r="F66" s="9"/>
      <c r="G66" s="21"/>
    </row>
    <row r="67" spans="1:9" x14ac:dyDescent="0.3">
      <c r="A67" s="5">
        <v>61</v>
      </c>
      <c r="B67" s="1" t="s">
        <v>132</v>
      </c>
      <c r="C67" s="5">
        <v>102320577</v>
      </c>
      <c r="D67" s="14" t="s">
        <v>167</v>
      </c>
      <c r="E67" s="25"/>
      <c r="F67" s="7"/>
      <c r="G67" s="18"/>
    </row>
    <row r="68" spans="1:9" x14ac:dyDescent="0.3">
      <c r="A68" s="5">
        <v>62</v>
      </c>
      <c r="B68" s="1" t="s">
        <v>10</v>
      </c>
      <c r="C68" s="5">
        <v>102320578</v>
      </c>
      <c r="D68" s="14" t="s">
        <v>167</v>
      </c>
      <c r="E68" s="25"/>
      <c r="F68" s="7"/>
      <c r="G68" s="18"/>
    </row>
    <row r="69" spans="1:9" x14ac:dyDescent="0.3">
      <c r="A69" s="5">
        <v>63</v>
      </c>
      <c r="B69" s="1" t="s">
        <v>11</v>
      </c>
      <c r="C69" s="5">
        <v>102320579</v>
      </c>
      <c r="D69" s="14" t="s">
        <v>167</v>
      </c>
      <c r="E69" s="25"/>
      <c r="F69" s="7"/>
      <c r="G69" s="18"/>
    </row>
    <row r="70" spans="1:9" x14ac:dyDescent="0.3">
      <c r="A70" s="5">
        <v>64</v>
      </c>
      <c r="B70" s="1" t="s">
        <v>93</v>
      </c>
      <c r="C70" s="5">
        <v>102320581</v>
      </c>
      <c r="D70" s="14" t="s">
        <v>165</v>
      </c>
      <c r="E70" s="25"/>
      <c r="F70" s="7"/>
      <c r="G70" s="36"/>
    </row>
    <row r="71" spans="1:9" x14ac:dyDescent="0.3">
      <c r="A71" s="5">
        <v>65</v>
      </c>
      <c r="B71" s="1" t="s">
        <v>39</v>
      </c>
      <c r="C71" s="5">
        <v>102320582</v>
      </c>
      <c r="D71" s="14" t="s">
        <v>165</v>
      </c>
      <c r="E71" s="23" t="s">
        <v>190</v>
      </c>
      <c r="F71" t="s">
        <v>192</v>
      </c>
      <c r="G71" s="18" t="s">
        <v>182</v>
      </c>
      <c r="I71">
        <v>2</v>
      </c>
    </row>
    <row r="72" spans="1:9" x14ac:dyDescent="0.3">
      <c r="A72" s="5">
        <v>66</v>
      </c>
      <c r="B72" s="1" t="s">
        <v>35</v>
      </c>
      <c r="C72" s="5">
        <v>102320583</v>
      </c>
      <c r="D72" s="14" t="s">
        <v>165</v>
      </c>
      <c r="E72" s="25"/>
      <c r="F72" s="7" t="s">
        <v>203</v>
      </c>
      <c r="G72" s="19">
        <v>46128</v>
      </c>
      <c r="I72">
        <v>2</v>
      </c>
    </row>
    <row r="73" spans="1:9" x14ac:dyDescent="0.3">
      <c r="A73" s="5">
        <v>67</v>
      </c>
      <c r="B73" s="1" t="s">
        <v>27</v>
      </c>
      <c r="C73" s="5">
        <v>102320584</v>
      </c>
      <c r="D73" s="14" t="s">
        <v>165</v>
      </c>
      <c r="E73" s="25"/>
      <c r="F73" s="7"/>
      <c r="G73" s="18" t="s">
        <v>196</v>
      </c>
    </row>
    <row r="74" spans="1:9" x14ac:dyDescent="0.3">
      <c r="A74" s="5">
        <v>68</v>
      </c>
      <c r="B74" s="1" t="s">
        <v>28</v>
      </c>
      <c r="C74" s="5">
        <v>102320585</v>
      </c>
      <c r="D74" s="14" t="s">
        <v>165</v>
      </c>
      <c r="E74" s="25"/>
      <c r="F74" s="7"/>
      <c r="G74" s="18"/>
    </row>
    <row r="75" spans="1:9" x14ac:dyDescent="0.3">
      <c r="A75" s="5">
        <v>69</v>
      </c>
      <c r="B75" s="1" t="s">
        <v>45</v>
      </c>
      <c r="C75" s="5">
        <v>102320586</v>
      </c>
      <c r="D75" s="14" t="s">
        <v>165</v>
      </c>
      <c r="E75" s="25"/>
      <c r="F75" s="7"/>
      <c r="G75" s="18"/>
    </row>
    <row r="76" spans="1:9" x14ac:dyDescent="0.3">
      <c r="A76" s="5">
        <v>70</v>
      </c>
      <c r="B76" s="1" t="s">
        <v>3</v>
      </c>
      <c r="C76" s="5">
        <v>102320587</v>
      </c>
      <c r="D76" s="14" t="s">
        <v>165</v>
      </c>
      <c r="E76" s="27"/>
      <c r="F76" s="9"/>
      <c r="G76" s="21"/>
    </row>
    <row r="77" spans="1:9" x14ac:dyDescent="0.3">
      <c r="A77" s="5">
        <v>71</v>
      </c>
      <c r="B77" s="1" t="s">
        <v>29</v>
      </c>
      <c r="C77" s="5">
        <v>102320588</v>
      </c>
      <c r="D77" s="14" t="s">
        <v>165</v>
      </c>
      <c r="E77" s="25"/>
      <c r="F77" s="7"/>
      <c r="G77" s="18"/>
    </row>
    <row r="78" spans="1:9" x14ac:dyDescent="0.3">
      <c r="A78" s="5">
        <v>72</v>
      </c>
      <c r="B78" s="1" t="s">
        <v>4</v>
      </c>
      <c r="C78" s="5">
        <v>102320589</v>
      </c>
      <c r="D78" s="14" t="s">
        <v>165</v>
      </c>
      <c r="E78" s="25"/>
      <c r="F78" s="7"/>
      <c r="G78" s="18"/>
    </row>
    <row r="79" spans="1:9" x14ac:dyDescent="0.3">
      <c r="A79" s="5">
        <v>73</v>
      </c>
      <c r="B79" s="1" t="s">
        <v>66</v>
      </c>
      <c r="C79" s="5">
        <v>102320590</v>
      </c>
      <c r="D79" s="14" t="s">
        <v>165</v>
      </c>
      <c r="E79" s="25"/>
      <c r="F79" s="7"/>
      <c r="G79" s="18"/>
    </row>
    <row r="80" spans="1:9" x14ac:dyDescent="0.3">
      <c r="A80" s="5">
        <v>74</v>
      </c>
      <c r="B80" s="1" t="s">
        <v>116</v>
      </c>
      <c r="C80" s="5">
        <v>102320591</v>
      </c>
      <c r="D80" s="14" t="s">
        <v>165</v>
      </c>
      <c r="E80" s="25"/>
      <c r="F80" s="7"/>
      <c r="G80" s="18" t="s">
        <v>182</v>
      </c>
    </row>
    <row r="81" spans="1:9" x14ac:dyDescent="0.3">
      <c r="A81" s="5">
        <v>75</v>
      </c>
      <c r="B81" s="1" t="s">
        <v>94</v>
      </c>
      <c r="C81" s="5">
        <v>102320592</v>
      </c>
      <c r="D81" s="14" t="s">
        <v>165</v>
      </c>
      <c r="E81" s="23" t="s">
        <v>190</v>
      </c>
      <c r="F81" t="s">
        <v>175</v>
      </c>
      <c r="G81" s="19">
        <v>46128</v>
      </c>
      <c r="I81">
        <v>2</v>
      </c>
    </row>
    <row r="82" spans="1:9" x14ac:dyDescent="0.3">
      <c r="A82" s="5">
        <v>76</v>
      </c>
      <c r="B82" s="1" t="s">
        <v>46</v>
      </c>
      <c r="C82" s="5">
        <v>102320593</v>
      </c>
      <c r="D82" s="14" t="s">
        <v>165</v>
      </c>
      <c r="E82" s="25"/>
      <c r="F82" s="7" t="s">
        <v>174</v>
      </c>
      <c r="G82" s="18" t="s">
        <v>197</v>
      </c>
      <c r="I82">
        <v>2</v>
      </c>
    </row>
    <row r="83" spans="1:9" x14ac:dyDescent="0.3">
      <c r="A83" s="5">
        <v>77</v>
      </c>
      <c r="B83" s="1" t="s">
        <v>5</v>
      </c>
      <c r="C83" s="5">
        <v>102320594</v>
      </c>
      <c r="D83" s="14" t="s">
        <v>165</v>
      </c>
      <c r="E83" s="25"/>
      <c r="F83" s="7"/>
      <c r="G83" s="18"/>
    </row>
    <row r="84" spans="1:9" x14ac:dyDescent="0.3">
      <c r="A84" s="5">
        <v>78</v>
      </c>
      <c r="B84" s="1" t="s">
        <v>47</v>
      </c>
      <c r="C84" s="5">
        <v>102320596</v>
      </c>
      <c r="D84" s="14" t="s">
        <v>165</v>
      </c>
      <c r="E84" s="25"/>
      <c r="F84" s="7"/>
      <c r="G84" s="18"/>
    </row>
    <row r="85" spans="1:9" x14ac:dyDescent="0.3">
      <c r="A85" s="5">
        <v>79</v>
      </c>
      <c r="B85" s="1" t="s">
        <v>48</v>
      </c>
      <c r="C85" s="5">
        <v>102320597</v>
      </c>
      <c r="D85" s="14" t="s">
        <v>165</v>
      </c>
      <c r="E85" s="25"/>
      <c r="F85" s="7"/>
      <c r="G85" s="18"/>
    </row>
    <row r="86" spans="1:9" x14ac:dyDescent="0.3">
      <c r="A86" s="5">
        <v>80</v>
      </c>
      <c r="B86" s="1" t="s">
        <v>7</v>
      </c>
      <c r="C86" s="5">
        <v>102320598</v>
      </c>
      <c r="D86" s="14" t="s">
        <v>165</v>
      </c>
      <c r="E86" s="27"/>
      <c r="F86" s="9"/>
      <c r="G86" s="21"/>
    </row>
    <row r="87" spans="1:9" x14ac:dyDescent="0.3">
      <c r="A87" s="5">
        <v>81</v>
      </c>
      <c r="B87" s="30" t="s">
        <v>208</v>
      </c>
      <c r="C87" s="32">
        <v>102320599</v>
      </c>
      <c r="D87" s="14" t="s">
        <v>165</v>
      </c>
      <c r="E87" s="25"/>
      <c r="F87" s="7"/>
      <c r="G87" s="18"/>
    </row>
    <row r="88" spans="1:9" x14ac:dyDescent="0.3">
      <c r="A88" s="5">
        <v>82</v>
      </c>
      <c r="B88" s="30" t="s">
        <v>209</v>
      </c>
      <c r="C88" s="32">
        <v>102320600</v>
      </c>
      <c r="D88" s="14" t="s">
        <v>165</v>
      </c>
      <c r="E88" s="25"/>
      <c r="F88" s="7"/>
      <c r="G88" s="18"/>
    </row>
    <row r="89" spans="1:9" x14ac:dyDescent="0.3">
      <c r="A89" s="5">
        <v>83</v>
      </c>
      <c r="B89" s="30" t="s">
        <v>63</v>
      </c>
      <c r="C89" s="32">
        <v>102320601</v>
      </c>
      <c r="D89" s="14" t="s">
        <v>165</v>
      </c>
      <c r="E89" s="25"/>
      <c r="F89" s="7"/>
      <c r="G89" s="18"/>
    </row>
    <row r="90" spans="1:9" x14ac:dyDescent="0.3">
      <c r="A90" s="5">
        <v>84</v>
      </c>
      <c r="B90" s="30" t="s">
        <v>30</v>
      </c>
      <c r="C90" s="32">
        <v>102320602</v>
      </c>
      <c r="D90" s="14" t="s">
        <v>165</v>
      </c>
      <c r="E90" s="25"/>
      <c r="F90" s="7"/>
      <c r="G90" s="36"/>
    </row>
    <row r="91" spans="1:9" x14ac:dyDescent="0.3">
      <c r="A91" s="5">
        <v>85</v>
      </c>
      <c r="B91" s="30" t="s">
        <v>16</v>
      </c>
      <c r="C91" s="32">
        <v>102320603</v>
      </c>
      <c r="D91" s="14" t="s">
        <v>165</v>
      </c>
      <c r="E91" s="23" t="s">
        <v>190</v>
      </c>
      <c r="F91" t="s">
        <v>177</v>
      </c>
      <c r="G91" s="18" t="s">
        <v>189</v>
      </c>
      <c r="I91">
        <v>2</v>
      </c>
    </row>
    <row r="92" spans="1:9" x14ac:dyDescent="0.3">
      <c r="A92" s="5">
        <v>86</v>
      </c>
      <c r="B92" s="30" t="s">
        <v>31</v>
      </c>
      <c r="C92" s="32">
        <v>102320607</v>
      </c>
      <c r="D92" s="14" t="s">
        <v>165</v>
      </c>
      <c r="E92" s="25"/>
      <c r="F92" s="7" t="s">
        <v>179</v>
      </c>
      <c r="G92" s="19">
        <v>46129</v>
      </c>
      <c r="I92">
        <v>2</v>
      </c>
    </row>
    <row r="93" spans="1:9" x14ac:dyDescent="0.3">
      <c r="A93" s="5">
        <v>87</v>
      </c>
      <c r="B93" s="30" t="s">
        <v>49</v>
      </c>
      <c r="C93" s="32">
        <v>102320609</v>
      </c>
      <c r="D93" s="14" t="s">
        <v>165</v>
      </c>
      <c r="E93" s="25"/>
      <c r="F93" s="7"/>
      <c r="G93" s="18" t="s">
        <v>196</v>
      </c>
    </row>
    <row r="94" spans="1:9" x14ac:dyDescent="0.3">
      <c r="A94" s="5">
        <v>88</v>
      </c>
      <c r="B94" s="30" t="s">
        <v>210</v>
      </c>
      <c r="C94" s="32">
        <v>102320610</v>
      </c>
      <c r="D94" s="14" t="s">
        <v>165</v>
      </c>
      <c r="E94" s="25"/>
      <c r="F94" s="7"/>
      <c r="G94" s="18"/>
    </row>
    <row r="95" spans="1:9" x14ac:dyDescent="0.3">
      <c r="A95" s="5">
        <v>89</v>
      </c>
      <c r="B95" s="30" t="s">
        <v>23</v>
      </c>
      <c r="C95" s="32">
        <v>102320612</v>
      </c>
      <c r="D95" s="14" t="s">
        <v>165</v>
      </c>
      <c r="E95" s="25"/>
      <c r="F95" s="7"/>
      <c r="G95" s="18"/>
    </row>
    <row r="96" spans="1:9" x14ac:dyDescent="0.3">
      <c r="A96" s="5">
        <v>90</v>
      </c>
      <c r="B96" s="30" t="s">
        <v>67</v>
      </c>
      <c r="C96" s="32">
        <v>102320613</v>
      </c>
      <c r="D96" s="14" t="s">
        <v>165</v>
      </c>
      <c r="E96" s="27"/>
      <c r="F96" s="9"/>
      <c r="G96" s="21"/>
    </row>
    <row r="97" spans="1:9" x14ac:dyDescent="0.3">
      <c r="A97" s="5">
        <v>91</v>
      </c>
      <c r="B97" s="30" t="s">
        <v>50</v>
      </c>
      <c r="C97" s="32">
        <v>102320614</v>
      </c>
      <c r="D97" s="14" t="s">
        <v>165</v>
      </c>
      <c r="E97" s="25"/>
      <c r="F97" s="7"/>
      <c r="G97" s="18"/>
    </row>
    <row r="98" spans="1:9" x14ac:dyDescent="0.3">
      <c r="A98" s="5">
        <v>92</v>
      </c>
      <c r="B98" s="30" t="s">
        <v>51</v>
      </c>
      <c r="C98" s="32">
        <v>102320615</v>
      </c>
      <c r="D98" s="14" t="s">
        <v>165</v>
      </c>
      <c r="E98" s="25"/>
      <c r="F98" s="7"/>
      <c r="G98" s="18"/>
    </row>
    <row r="99" spans="1:9" x14ac:dyDescent="0.3">
      <c r="A99" s="5">
        <v>93</v>
      </c>
      <c r="B99" s="1" t="s">
        <v>133</v>
      </c>
      <c r="C99" s="5">
        <v>102320617</v>
      </c>
      <c r="D99" s="14" t="s">
        <v>168</v>
      </c>
      <c r="E99" s="25"/>
      <c r="F99" s="7"/>
      <c r="G99" s="18"/>
    </row>
    <row r="100" spans="1:9" x14ac:dyDescent="0.3">
      <c r="A100" s="5">
        <v>94</v>
      </c>
      <c r="B100" s="1" t="s">
        <v>155</v>
      </c>
      <c r="C100" s="5">
        <v>102320618</v>
      </c>
      <c r="D100" s="14" t="s">
        <v>168</v>
      </c>
      <c r="E100" s="25"/>
      <c r="F100" s="7"/>
      <c r="G100" s="18"/>
    </row>
    <row r="101" spans="1:9" x14ac:dyDescent="0.3">
      <c r="A101" s="5">
        <v>95</v>
      </c>
      <c r="B101" s="1" t="s">
        <v>146</v>
      </c>
      <c r="C101" s="5">
        <v>102320619</v>
      </c>
      <c r="D101" s="14" t="s">
        <v>168</v>
      </c>
      <c r="E101" s="25"/>
      <c r="F101" s="7"/>
      <c r="G101" s="18" t="s">
        <v>189</v>
      </c>
    </row>
    <row r="102" spans="1:9" x14ac:dyDescent="0.3">
      <c r="A102" s="5">
        <v>96</v>
      </c>
      <c r="B102" s="1" t="s">
        <v>147</v>
      </c>
      <c r="C102" s="5">
        <v>102320620</v>
      </c>
      <c r="D102" s="14" t="s">
        <v>168</v>
      </c>
      <c r="E102" s="23" t="s">
        <v>190</v>
      </c>
      <c r="F102" t="s">
        <v>176</v>
      </c>
      <c r="G102" s="19">
        <v>46129</v>
      </c>
      <c r="I102">
        <v>2</v>
      </c>
    </row>
    <row r="103" spans="1:9" x14ac:dyDescent="0.3">
      <c r="A103" s="5">
        <v>97</v>
      </c>
      <c r="B103" s="1" t="s">
        <v>127</v>
      </c>
      <c r="C103" s="5">
        <v>102320622</v>
      </c>
      <c r="D103" s="14" t="s">
        <v>168</v>
      </c>
      <c r="E103" s="25"/>
      <c r="F103" s="7" t="s">
        <v>171</v>
      </c>
      <c r="G103" s="18" t="s">
        <v>198</v>
      </c>
      <c r="I103">
        <v>2</v>
      </c>
    </row>
    <row r="104" spans="1:9" x14ac:dyDescent="0.3">
      <c r="A104" s="5">
        <v>98</v>
      </c>
      <c r="B104" s="1" t="s">
        <v>128</v>
      </c>
      <c r="C104" s="5">
        <v>102320623</v>
      </c>
      <c r="D104" s="14" t="s">
        <v>168</v>
      </c>
      <c r="E104" s="25"/>
      <c r="F104" s="7"/>
      <c r="G104" s="18"/>
    </row>
    <row r="105" spans="1:9" x14ac:dyDescent="0.3">
      <c r="A105" s="5">
        <v>99</v>
      </c>
      <c r="B105" s="1" t="s">
        <v>12</v>
      </c>
      <c r="C105" s="5">
        <v>102320625</v>
      </c>
      <c r="D105" s="14" t="s">
        <v>168</v>
      </c>
      <c r="E105" s="25"/>
      <c r="F105" s="7"/>
      <c r="G105" s="18"/>
    </row>
    <row r="106" spans="1:9" x14ac:dyDescent="0.3">
      <c r="A106" s="5">
        <v>100</v>
      </c>
      <c r="B106" s="1" t="s">
        <v>150</v>
      </c>
      <c r="C106" s="5">
        <v>102320628</v>
      </c>
      <c r="D106" s="14" t="s">
        <v>168</v>
      </c>
      <c r="E106" s="25"/>
      <c r="F106" s="7"/>
      <c r="G106" s="18"/>
    </row>
    <row r="107" spans="1:9" x14ac:dyDescent="0.3">
      <c r="A107" s="5">
        <v>101</v>
      </c>
      <c r="B107" s="1" t="s">
        <v>106</v>
      </c>
      <c r="C107" s="5">
        <v>102320630</v>
      </c>
      <c r="D107" s="14" t="s">
        <v>168</v>
      </c>
      <c r="E107" s="28"/>
      <c r="F107" s="10"/>
      <c r="G107" s="22"/>
    </row>
    <row r="108" spans="1:9" x14ac:dyDescent="0.3">
      <c r="A108" s="5">
        <v>102</v>
      </c>
      <c r="B108" s="1" t="s">
        <v>156</v>
      </c>
      <c r="C108" s="5">
        <v>102320631</v>
      </c>
      <c r="D108" s="14" t="s">
        <v>168</v>
      </c>
      <c r="E108" s="29"/>
      <c r="F108" s="11"/>
      <c r="G108" s="23"/>
    </row>
    <row r="109" spans="1:9" x14ac:dyDescent="0.3">
      <c r="A109" s="5">
        <v>103</v>
      </c>
      <c r="B109" s="1" t="s">
        <v>72</v>
      </c>
      <c r="C109" s="5">
        <v>102320632</v>
      </c>
      <c r="D109" s="14" t="s">
        <v>168</v>
      </c>
      <c r="E109" s="29"/>
      <c r="F109" s="11"/>
      <c r="G109" s="23"/>
    </row>
    <row r="110" spans="1:9" x14ac:dyDescent="0.3">
      <c r="A110" s="5">
        <v>104</v>
      </c>
      <c r="B110" s="1" t="s">
        <v>113</v>
      </c>
      <c r="C110" s="5">
        <v>102320633</v>
      </c>
      <c r="D110" s="14" t="s">
        <v>168</v>
      </c>
      <c r="E110" s="29"/>
      <c r="F110" s="11"/>
      <c r="G110" s="23"/>
    </row>
    <row r="111" spans="1:9" x14ac:dyDescent="0.3">
      <c r="A111" s="5">
        <v>105</v>
      </c>
      <c r="B111" s="1" t="s">
        <v>134</v>
      </c>
      <c r="C111" s="5">
        <v>102320634</v>
      </c>
      <c r="D111" s="14" t="s">
        <v>168</v>
      </c>
      <c r="E111" s="29"/>
      <c r="F111" s="11"/>
      <c r="G111" s="23" t="s">
        <v>195</v>
      </c>
    </row>
    <row r="112" spans="1:9" x14ac:dyDescent="0.3">
      <c r="A112" s="5">
        <v>106</v>
      </c>
      <c r="B112" s="1" t="s">
        <v>157</v>
      </c>
      <c r="C112" s="5">
        <v>102320635</v>
      </c>
      <c r="D112" s="14" t="s">
        <v>168</v>
      </c>
      <c r="E112" s="23" t="s">
        <v>190</v>
      </c>
      <c r="F112" t="s">
        <v>173</v>
      </c>
      <c r="G112" s="19">
        <v>46130</v>
      </c>
      <c r="I112">
        <v>2</v>
      </c>
    </row>
    <row r="113" spans="1:9" x14ac:dyDescent="0.3">
      <c r="A113" s="5">
        <v>107</v>
      </c>
      <c r="B113" s="1" t="s">
        <v>107</v>
      </c>
      <c r="C113" s="5">
        <v>102320636</v>
      </c>
      <c r="D113" s="14" t="s">
        <v>168</v>
      </c>
      <c r="E113" s="29"/>
      <c r="F113" s="11" t="s">
        <v>180</v>
      </c>
      <c r="G113" s="23" t="s">
        <v>196</v>
      </c>
      <c r="I113">
        <v>3</v>
      </c>
    </row>
    <row r="114" spans="1:9" x14ac:dyDescent="0.3">
      <c r="A114" s="5">
        <v>108</v>
      </c>
      <c r="B114" s="1" t="s">
        <v>64</v>
      </c>
      <c r="C114" s="5">
        <v>102320637</v>
      </c>
      <c r="D114" s="14" t="s">
        <v>168</v>
      </c>
      <c r="E114" s="29"/>
      <c r="F114" s="11"/>
      <c r="G114" s="23"/>
    </row>
    <row r="115" spans="1:9" x14ac:dyDescent="0.3">
      <c r="A115" s="5">
        <v>109</v>
      </c>
      <c r="B115" s="1" t="s">
        <v>80</v>
      </c>
      <c r="C115" s="5">
        <v>102320639</v>
      </c>
      <c r="D115" s="14" t="s">
        <v>168</v>
      </c>
      <c r="E115" s="29"/>
      <c r="F115" s="11"/>
      <c r="G115" s="23"/>
    </row>
    <row r="116" spans="1:9" x14ac:dyDescent="0.3">
      <c r="A116" s="5">
        <v>110</v>
      </c>
      <c r="B116" s="1" t="s">
        <v>69</v>
      </c>
      <c r="C116" s="5">
        <v>102320640</v>
      </c>
      <c r="D116" s="14" t="s">
        <v>168</v>
      </c>
      <c r="E116" s="29"/>
      <c r="F116" s="11"/>
      <c r="G116" s="23"/>
    </row>
    <row r="117" spans="1:9" x14ac:dyDescent="0.3">
      <c r="A117" s="5">
        <v>111</v>
      </c>
      <c r="B117" s="1" t="s">
        <v>148</v>
      </c>
      <c r="C117" s="5">
        <v>102320641</v>
      </c>
      <c r="D117" s="14" t="s">
        <v>168</v>
      </c>
      <c r="E117" s="26"/>
      <c r="F117" s="6"/>
      <c r="G117" s="20"/>
    </row>
    <row r="118" spans="1:9" x14ac:dyDescent="0.3">
      <c r="A118" s="5">
        <v>112</v>
      </c>
      <c r="B118" s="1" t="s">
        <v>13</v>
      </c>
      <c r="C118" s="5">
        <v>102320642</v>
      </c>
      <c r="D118" s="14" t="s">
        <v>168</v>
      </c>
      <c r="E118" s="25"/>
      <c r="F118" s="7"/>
      <c r="G118" s="18"/>
    </row>
    <row r="119" spans="1:9" x14ac:dyDescent="0.3">
      <c r="A119" s="5">
        <v>113</v>
      </c>
      <c r="B119" s="1" t="s">
        <v>108</v>
      </c>
      <c r="C119" s="5">
        <v>102320643</v>
      </c>
      <c r="D119" s="14" t="s">
        <v>168</v>
      </c>
      <c r="E119" s="25"/>
      <c r="F119" s="7"/>
      <c r="G119" s="18"/>
    </row>
    <row r="120" spans="1:9" x14ac:dyDescent="0.3">
      <c r="A120" s="5">
        <v>114</v>
      </c>
      <c r="B120" s="1" t="s">
        <v>14</v>
      </c>
      <c r="C120" s="5">
        <v>102320644</v>
      </c>
      <c r="D120" s="14" t="s">
        <v>168</v>
      </c>
      <c r="E120" s="25"/>
      <c r="F120" s="7"/>
      <c r="G120" s="18"/>
    </row>
    <row r="121" spans="1:9" x14ac:dyDescent="0.3">
      <c r="A121" s="5">
        <v>115</v>
      </c>
      <c r="B121" s="1" t="s">
        <v>149</v>
      </c>
      <c r="C121" s="5">
        <v>102320645</v>
      </c>
      <c r="D121" s="14" t="s">
        <v>168</v>
      </c>
      <c r="E121" s="25" t="s">
        <v>190</v>
      </c>
      <c r="F121" s="7" t="s">
        <v>192</v>
      </c>
      <c r="G121" s="23" t="s">
        <v>195</v>
      </c>
      <c r="I121">
        <v>3</v>
      </c>
    </row>
    <row r="122" spans="1:9" x14ac:dyDescent="0.3">
      <c r="A122" s="5">
        <v>116</v>
      </c>
      <c r="B122" s="1" t="s">
        <v>154</v>
      </c>
      <c r="C122" s="5">
        <v>102320646</v>
      </c>
      <c r="D122" s="14" t="s">
        <v>168</v>
      </c>
      <c r="E122" s="25"/>
      <c r="F122" s="7" t="s">
        <v>178</v>
      </c>
      <c r="G122" s="19">
        <v>46130</v>
      </c>
      <c r="I122">
        <v>2</v>
      </c>
    </row>
    <row r="123" spans="1:9" x14ac:dyDescent="0.3">
      <c r="A123" s="5">
        <v>117</v>
      </c>
      <c r="B123" s="1" t="s">
        <v>15</v>
      </c>
      <c r="C123" s="5">
        <v>102320647</v>
      </c>
      <c r="D123" s="14" t="s">
        <v>168</v>
      </c>
      <c r="E123" s="25"/>
      <c r="F123" s="7"/>
      <c r="G123" s="18" t="s">
        <v>197</v>
      </c>
    </row>
    <row r="124" spans="1:9" x14ac:dyDescent="0.3">
      <c r="A124" s="5">
        <v>118</v>
      </c>
      <c r="B124" s="1" t="s">
        <v>65</v>
      </c>
      <c r="C124" s="5">
        <v>102320648</v>
      </c>
      <c r="D124" s="14" t="s">
        <v>168</v>
      </c>
      <c r="E124" s="25"/>
      <c r="F124" s="7"/>
      <c r="G124" s="18"/>
    </row>
    <row r="125" spans="1:9" x14ac:dyDescent="0.3">
      <c r="A125" s="5">
        <v>119</v>
      </c>
      <c r="B125" s="1" t="s">
        <v>111</v>
      </c>
      <c r="C125" s="14">
        <v>102320511</v>
      </c>
      <c r="D125" s="14" t="s">
        <v>169</v>
      </c>
      <c r="E125" s="25"/>
      <c r="F125" s="7"/>
      <c r="G125" s="18"/>
    </row>
    <row r="126" spans="1:9" x14ac:dyDescent="0.3">
      <c r="A126" s="5">
        <v>120</v>
      </c>
      <c r="B126" s="1" t="s">
        <v>34</v>
      </c>
      <c r="C126" s="5">
        <v>102320555</v>
      </c>
      <c r="D126" s="14" t="s">
        <v>167</v>
      </c>
      <c r="E126" s="25"/>
      <c r="F126" s="7"/>
      <c r="G126" s="18"/>
    </row>
    <row r="127" spans="1:9" x14ac:dyDescent="0.3">
      <c r="A127" s="5">
        <v>121</v>
      </c>
      <c r="B127" s="1" t="s">
        <v>114</v>
      </c>
      <c r="C127" s="5">
        <v>102320649</v>
      </c>
      <c r="D127" s="14" t="s">
        <v>168</v>
      </c>
      <c r="E127" s="26"/>
      <c r="F127" s="6"/>
      <c r="G127" s="20"/>
    </row>
    <row r="128" spans="1:9" x14ac:dyDescent="0.3">
      <c r="A128" s="5">
        <v>122</v>
      </c>
      <c r="B128" s="1" t="s">
        <v>41</v>
      </c>
      <c r="C128" s="5">
        <v>102320650</v>
      </c>
      <c r="D128" s="14" t="s">
        <v>168</v>
      </c>
      <c r="E128" s="25"/>
      <c r="F128" s="7"/>
      <c r="G128" s="18"/>
    </row>
    <row r="129" spans="1:9" x14ac:dyDescent="0.3">
      <c r="A129" s="5">
        <v>123</v>
      </c>
      <c r="B129" s="1" t="s">
        <v>115</v>
      </c>
      <c r="C129" s="5">
        <v>102320651</v>
      </c>
      <c r="D129" s="14" t="s">
        <v>168</v>
      </c>
      <c r="E129" s="25"/>
      <c r="F129" s="7"/>
      <c r="G129" s="18"/>
    </row>
    <row r="130" spans="1:9" x14ac:dyDescent="0.3">
      <c r="A130" s="5">
        <v>124</v>
      </c>
      <c r="B130" s="1" t="s">
        <v>109</v>
      </c>
      <c r="C130" s="5">
        <v>102320652</v>
      </c>
      <c r="D130" s="14" t="s">
        <v>166</v>
      </c>
      <c r="E130" s="25"/>
      <c r="F130" s="7"/>
      <c r="G130" s="18" t="s">
        <v>186</v>
      </c>
    </row>
    <row r="131" spans="1:9" x14ac:dyDescent="0.3">
      <c r="A131" s="5">
        <v>125</v>
      </c>
      <c r="B131" s="1" t="s">
        <v>40</v>
      </c>
      <c r="C131" s="5">
        <v>102320653</v>
      </c>
      <c r="D131" s="14" t="s">
        <v>166</v>
      </c>
      <c r="E131" s="25" t="s">
        <v>190</v>
      </c>
      <c r="F131" s="7" t="s">
        <v>203</v>
      </c>
      <c r="G131" s="19">
        <v>46132</v>
      </c>
      <c r="I131">
        <v>3</v>
      </c>
    </row>
    <row r="132" spans="1:9" x14ac:dyDescent="0.3">
      <c r="A132" s="5">
        <v>126</v>
      </c>
      <c r="B132" s="1" t="s">
        <v>110</v>
      </c>
      <c r="C132" s="5">
        <v>102320654</v>
      </c>
      <c r="D132" s="14" t="s">
        <v>166</v>
      </c>
      <c r="E132" s="25"/>
      <c r="F132" s="7" t="s">
        <v>175</v>
      </c>
      <c r="G132" s="18" t="s">
        <v>196</v>
      </c>
      <c r="I132">
        <v>3</v>
      </c>
    </row>
    <row r="133" spans="1:9" x14ac:dyDescent="0.3">
      <c r="A133" s="5">
        <v>127</v>
      </c>
      <c r="B133" s="1" t="s">
        <v>95</v>
      </c>
      <c r="C133" s="5">
        <v>102320655</v>
      </c>
      <c r="D133" s="14" t="s">
        <v>166</v>
      </c>
      <c r="E133" s="25"/>
      <c r="F133" s="7"/>
      <c r="G133" s="18"/>
    </row>
    <row r="134" spans="1:9" x14ac:dyDescent="0.3">
      <c r="A134" s="5">
        <v>128</v>
      </c>
      <c r="B134" s="1" t="s">
        <v>158</v>
      </c>
      <c r="C134" s="5">
        <v>102320656</v>
      </c>
      <c r="D134" s="14" t="s">
        <v>166</v>
      </c>
      <c r="E134" s="25"/>
      <c r="F134" s="7"/>
      <c r="G134" s="18"/>
    </row>
    <row r="135" spans="1:9" x14ac:dyDescent="0.3">
      <c r="A135" s="5">
        <v>129</v>
      </c>
      <c r="B135" s="1" t="s">
        <v>70</v>
      </c>
      <c r="C135" s="5">
        <v>102320657</v>
      </c>
      <c r="D135" s="14" t="s">
        <v>166</v>
      </c>
      <c r="E135" s="25"/>
      <c r="F135" s="7"/>
      <c r="G135" s="18"/>
    </row>
    <row r="136" spans="1:9" x14ac:dyDescent="0.3">
      <c r="A136" s="5">
        <v>130</v>
      </c>
      <c r="B136" s="1" t="s">
        <v>19</v>
      </c>
      <c r="C136" s="5">
        <v>102320658</v>
      </c>
      <c r="D136" s="14" t="s">
        <v>166</v>
      </c>
      <c r="E136" s="25"/>
      <c r="F136" s="7"/>
      <c r="G136" s="18"/>
    </row>
    <row r="137" spans="1:9" x14ac:dyDescent="0.3">
      <c r="A137" s="5">
        <v>131</v>
      </c>
      <c r="B137" s="1" t="s">
        <v>20</v>
      </c>
      <c r="C137" s="5">
        <v>102320659</v>
      </c>
      <c r="D137" s="14" t="s">
        <v>166</v>
      </c>
      <c r="E137" s="26"/>
      <c r="F137" s="6"/>
      <c r="G137" s="20"/>
    </row>
    <row r="138" spans="1:9" x14ac:dyDescent="0.3">
      <c r="A138" s="5">
        <v>132</v>
      </c>
      <c r="B138" s="1" t="s">
        <v>159</v>
      </c>
      <c r="C138" s="5">
        <v>102320660</v>
      </c>
      <c r="D138" s="14" t="s">
        <v>166</v>
      </c>
      <c r="E138" s="25"/>
      <c r="F138" s="7"/>
      <c r="G138" s="18"/>
    </row>
    <row r="139" spans="1:9" x14ac:dyDescent="0.3">
      <c r="A139" s="5">
        <v>133</v>
      </c>
      <c r="B139" s="1" t="s">
        <v>73</v>
      </c>
      <c r="C139" s="5">
        <v>102320663</v>
      </c>
      <c r="D139" s="14" t="s">
        <v>166</v>
      </c>
      <c r="E139" s="25"/>
      <c r="F139" s="7"/>
      <c r="G139" s="18"/>
    </row>
    <row r="140" spans="1:9" x14ac:dyDescent="0.3">
      <c r="A140" s="5">
        <v>134</v>
      </c>
      <c r="B140" s="1" t="s">
        <v>96</v>
      </c>
      <c r="C140" s="5">
        <v>102320664</v>
      </c>
      <c r="D140" s="14" t="s">
        <v>166</v>
      </c>
      <c r="E140" s="25"/>
      <c r="F140" s="7"/>
      <c r="G140" s="18"/>
    </row>
    <row r="141" spans="1:9" x14ac:dyDescent="0.3">
      <c r="A141" s="5">
        <v>135</v>
      </c>
      <c r="B141" s="1" t="s">
        <v>59</v>
      </c>
      <c r="C141" s="5">
        <v>102320665</v>
      </c>
      <c r="D141" s="14" t="s">
        <v>166</v>
      </c>
      <c r="E141" s="18" t="s">
        <v>190</v>
      </c>
      <c r="F141" s="8" t="s">
        <v>174</v>
      </c>
      <c r="G141" s="18" t="s">
        <v>186</v>
      </c>
      <c r="I141">
        <v>3</v>
      </c>
    </row>
    <row r="142" spans="1:9" x14ac:dyDescent="0.3">
      <c r="A142" s="5">
        <v>136</v>
      </c>
      <c r="B142" s="1" t="s">
        <v>68</v>
      </c>
      <c r="C142" s="5">
        <v>102320666</v>
      </c>
      <c r="D142" s="14" t="s">
        <v>166</v>
      </c>
      <c r="E142" s="25"/>
      <c r="F142" s="7" t="s">
        <v>179</v>
      </c>
      <c r="G142" s="19">
        <v>46132</v>
      </c>
      <c r="I142">
        <v>3</v>
      </c>
    </row>
    <row r="143" spans="1:9" x14ac:dyDescent="0.3">
      <c r="A143" s="5">
        <v>137</v>
      </c>
      <c r="B143" s="1" t="s">
        <v>74</v>
      </c>
      <c r="C143" s="5">
        <v>102320667</v>
      </c>
      <c r="D143" s="14" t="s">
        <v>166</v>
      </c>
      <c r="E143" s="25"/>
      <c r="F143" s="7"/>
      <c r="G143" s="18" t="s">
        <v>197</v>
      </c>
    </row>
    <row r="144" spans="1:9" x14ac:dyDescent="0.3">
      <c r="A144" s="5">
        <v>138</v>
      </c>
      <c r="B144" s="1" t="s">
        <v>8</v>
      </c>
      <c r="C144" s="5">
        <v>102320668</v>
      </c>
      <c r="D144" s="14" t="s">
        <v>166</v>
      </c>
      <c r="E144" s="25"/>
      <c r="F144" s="7"/>
      <c r="G144" s="18"/>
    </row>
    <row r="145" spans="1:9" x14ac:dyDescent="0.3">
      <c r="A145" s="5">
        <v>139</v>
      </c>
      <c r="B145" s="1" t="s">
        <v>97</v>
      </c>
      <c r="C145" s="5">
        <v>102320669</v>
      </c>
      <c r="D145" s="14" t="s">
        <v>166</v>
      </c>
      <c r="E145" s="25"/>
      <c r="F145" s="7"/>
      <c r="G145" s="18"/>
    </row>
    <row r="146" spans="1:9" x14ac:dyDescent="0.3">
      <c r="A146" s="5">
        <v>140</v>
      </c>
      <c r="B146" s="1" t="s">
        <v>160</v>
      </c>
      <c r="C146" s="5">
        <v>102320670</v>
      </c>
      <c r="D146" s="14" t="s">
        <v>166</v>
      </c>
      <c r="E146" s="25"/>
      <c r="F146" s="7"/>
      <c r="G146" s="18"/>
    </row>
    <row r="147" spans="1:9" x14ac:dyDescent="0.3">
      <c r="A147" s="5">
        <v>141</v>
      </c>
      <c r="B147" s="1" t="s">
        <v>161</v>
      </c>
      <c r="C147" s="5">
        <v>102320671</v>
      </c>
      <c r="D147" s="14" t="s">
        <v>166</v>
      </c>
      <c r="E147" s="26"/>
      <c r="F147" s="6"/>
      <c r="G147" s="20"/>
    </row>
    <row r="148" spans="1:9" x14ac:dyDescent="0.3">
      <c r="A148" s="5">
        <v>142</v>
      </c>
      <c r="B148" s="1" t="s">
        <v>9</v>
      </c>
      <c r="C148" s="5">
        <v>102320672</v>
      </c>
      <c r="D148" s="14" t="s">
        <v>166</v>
      </c>
      <c r="E148" s="25"/>
      <c r="F148" s="7"/>
      <c r="G148" s="18"/>
    </row>
    <row r="149" spans="1:9" x14ac:dyDescent="0.3">
      <c r="A149" s="5">
        <v>143</v>
      </c>
      <c r="B149" s="1" t="s">
        <v>75</v>
      </c>
      <c r="C149" s="5">
        <v>102320673</v>
      </c>
      <c r="D149" s="14" t="s">
        <v>166</v>
      </c>
      <c r="E149" s="25"/>
      <c r="F149" s="7"/>
      <c r="G149" s="18"/>
    </row>
    <row r="150" spans="1:9" x14ac:dyDescent="0.3">
      <c r="A150" s="5">
        <v>144</v>
      </c>
      <c r="B150" s="1" t="s">
        <v>60</v>
      </c>
      <c r="C150" s="5">
        <v>102320674</v>
      </c>
      <c r="D150" s="14" t="s">
        <v>166</v>
      </c>
      <c r="E150" s="25"/>
      <c r="F150" s="7"/>
      <c r="G150" s="18"/>
    </row>
    <row r="151" spans="1:9" x14ac:dyDescent="0.3">
      <c r="A151" s="5">
        <v>145</v>
      </c>
      <c r="B151" s="1" t="s">
        <v>21</v>
      </c>
      <c r="C151" s="5">
        <v>102320675</v>
      </c>
      <c r="D151" s="14" t="s">
        <v>166</v>
      </c>
      <c r="E151" s="18" t="s">
        <v>190</v>
      </c>
      <c r="F151" s="8" t="s">
        <v>177</v>
      </c>
      <c r="G151" s="24" t="s">
        <v>187</v>
      </c>
      <c r="I151">
        <v>3</v>
      </c>
    </row>
    <row r="152" spans="1:9" x14ac:dyDescent="0.3">
      <c r="A152" s="5">
        <v>146</v>
      </c>
      <c r="B152" s="1" t="s">
        <v>98</v>
      </c>
      <c r="C152" s="5">
        <v>102320676</v>
      </c>
      <c r="D152" s="14" t="s">
        <v>166</v>
      </c>
      <c r="E152" s="25"/>
      <c r="F152" s="7" t="s">
        <v>171</v>
      </c>
      <c r="G152" s="19">
        <v>46133</v>
      </c>
      <c r="I152">
        <v>3</v>
      </c>
    </row>
    <row r="153" spans="1:9" x14ac:dyDescent="0.3">
      <c r="A153" s="5">
        <v>147</v>
      </c>
      <c r="B153" s="1" t="s">
        <v>22</v>
      </c>
      <c r="C153" s="5">
        <v>102320677</v>
      </c>
      <c r="D153" s="14" t="s">
        <v>166</v>
      </c>
      <c r="E153" s="25"/>
      <c r="F153" s="7"/>
      <c r="G153" s="18" t="s">
        <v>196</v>
      </c>
    </row>
    <row r="154" spans="1:9" x14ac:dyDescent="0.3">
      <c r="A154" s="5">
        <v>148</v>
      </c>
      <c r="B154" s="1" t="s">
        <v>151</v>
      </c>
      <c r="C154" s="5">
        <v>102320678</v>
      </c>
      <c r="D154" s="14" t="s">
        <v>166</v>
      </c>
      <c r="E154" s="25"/>
      <c r="F154" s="7"/>
      <c r="G154" s="18"/>
    </row>
    <row r="155" spans="1:9" x14ac:dyDescent="0.3">
      <c r="A155" s="5">
        <v>149</v>
      </c>
      <c r="B155" s="1" t="s">
        <v>162</v>
      </c>
      <c r="C155" s="5">
        <v>102320679</v>
      </c>
      <c r="D155" s="14" t="s">
        <v>166</v>
      </c>
      <c r="E155" s="25"/>
      <c r="F155" s="7"/>
      <c r="G155" s="18"/>
    </row>
    <row r="156" spans="1:9" x14ac:dyDescent="0.3">
      <c r="A156" s="5">
        <v>150</v>
      </c>
      <c r="B156" s="1" t="s">
        <v>71</v>
      </c>
      <c r="C156" s="5">
        <v>102320680</v>
      </c>
      <c r="D156" s="14" t="s">
        <v>166</v>
      </c>
      <c r="E156" s="25"/>
      <c r="F156" s="7"/>
      <c r="G156" s="18"/>
    </row>
    <row r="157" spans="1:9" x14ac:dyDescent="0.3">
      <c r="A157" s="5">
        <v>151</v>
      </c>
      <c r="B157" s="1" t="s">
        <v>163</v>
      </c>
      <c r="C157" s="5">
        <v>102320681</v>
      </c>
      <c r="D157" s="14" t="s">
        <v>166</v>
      </c>
      <c r="E157" s="26"/>
      <c r="F157" s="6"/>
      <c r="G157" s="20"/>
    </row>
    <row r="158" spans="1:9" x14ac:dyDescent="0.3">
      <c r="A158" s="5">
        <v>152</v>
      </c>
      <c r="B158" s="1" t="s">
        <v>164</v>
      </c>
      <c r="C158" s="5">
        <v>102320682</v>
      </c>
      <c r="D158" s="14" t="s">
        <v>166</v>
      </c>
      <c r="E158" s="25"/>
      <c r="F158" s="7"/>
      <c r="G158" s="18"/>
    </row>
    <row r="159" spans="1:9" x14ac:dyDescent="0.3">
      <c r="A159" s="5">
        <v>153</v>
      </c>
      <c r="B159" s="1" t="s">
        <v>99</v>
      </c>
      <c r="C159" s="5">
        <v>102320683</v>
      </c>
      <c r="D159" s="14" t="s">
        <v>166</v>
      </c>
      <c r="E159" s="25"/>
      <c r="F159" s="7"/>
      <c r="G159" s="18"/>
    </row>
    <row r="160" spans="1:9" x14ac:dyDescent="0.3">
      <c r="A160" s="5">
        <v>154</v>
      </c>
      <c r="B160" s="1" t="s">
        <v>130</v>
      </c>
      <c r="C160" s="5">
        <v>102320684</v>
      </c>
      <c r="D160" s="14" t="s">
        <v>166</v>
      </c>
      <c r="E160" s="18"/>
      <c r="F160" s="8"/>
      <c r="G160" s="24" t="s">
        <v>187</v>
      </c>
    </row>
    <row r="161" spans="1:9" x14ac:dyDescent="0.3">
      <c r="A161" s="5">
        <v>155</v>
      </c>
      <c r="B161" s="1" t="s">
        <v>100</v>
      </c>
      <c r="C161" s="5">
        <v>102320685</v>
      </c>
      <c r="D161" s="14" t="s">
        <v>166</v>
      </c>
      <c r="E161" s="25" t="s">
        <v>190</v>
      </c>
      <c r="F161" s="7" t="s">
        <v>176</v>
      </c>
      <c r="G161" s="19">
        <v>46133</v>
      </c>
      <c r="I161">
        <v>3</v>
      </c>
    </row>
    <row r="162" spans="1:9" x14ac:dyDescent="0.3">
      <c r="A162" s="5">
        <v>156</v>
      </c>
      <c r="B162" s="1" t="s">
        <v>76</v>
      </c>
      <c r="C162" s="5">
        <v>102320686</v>
      </c>
      <c r="D162" s="14" t="s">
        <v>166</v>
      </c>
      <c r="E162" s="25"/>
      <c r="F162" s="7" t="s">
        <v>173</v>
      </c>
      <c r="G162" s="18" t="s">
        <v>197</v>
      </c>
      <c r="I162">
        <v>3</v>
      </c>
    </row>
    <row r="163" spans="1:9" x14ac:dyDescent="0.3">
      <c r="A163" s="5">
        <v>157</v>
      </c>
      <c r="B163" s="1" t="s">
        <v>131</v>
      </c>
      <c r="C163" s="5">
        <v>102320687</v>
      </c>
      <c r="D163" s="14" t="s">
        <v>166</v>
      </c>
      <c r="E163" s="25"/>
      <c r="F163" s="7"/>
      <c r="G163" s="18"/>
    </row>
    <row r="164" spans="1:9" x14ac:dyDescent="0.3">
      <c r="A164" s="5">
        <v>158</v>
      </c>
      <c r="B164" s="48" t="s">
        <v>52</v>
      </c>
      <c r="C164" s="49">
        <v>102320546</v>
      </c>
      <c r="D164" s="50" t="s">
        <v>167</v>
      </c>
      <c r="E164" s="20"/>
      <c r="F164" s="35"/>
      <c r="G164" s="20"/>
    </row>
    <row r="165" spans="1:9" x14ac:dyDescent="0.3">
      <c r="A165" s="5">
        <v>159</v>
      </c>
      <c r="B165" s="30" t="s">
        <v>103</v>
      </c>
      <c r="C165" s="32">
        <v>102320558</v>
      </c>
      <c r="D165" s="51" t="s">
        <v>167</v>
      </c>
      <c r="E165" s="18"/>
      <c r="F165" s="33"/>
      <c r="G165" s="18"/>
    </row>
    <row r="166" spans="1:9" x14ac:dyDescent="0.3">
      <c r="A166" s="5">
        <v>160</v>
      </c>
      <c r="B166" s="30" t="s">
        <v>104</v>
      </c>
      <c r="C166" s="32">
        <v>102320559</v>
      </c>
      <c r="D166" s="51" t="s">
        <v>167</v>
      </c>
      <c r="E166" s="18"/>
      <c r="F166" s="33"/>
      <c r="G166" s="18"/>
    </row>
    <row r="167" spans="1:9" x14ac:dyDescent="0.3">
      <c r="A167" s="5">
        <v>161</v>
      </c>
      <c r="B167" s="30" t="s">
        <v>44</v>
      </c>
      <c r="C167" s="32">
        <v>102320574</v>
      </c>
      <c r="D167" s="51" t="s">
        <v>167</v>
      </c>
      <c r="E167" s="18"/>
      <c r="F167" s="34"/>
      <c r="G167" s="18"/>
    </row>
    <row r="168" spans="1:9" x14ac:dyDescent="0.3">
      <c r="A168" s="5">
        <v>162</v>
      </c>
      <c r="B168" s="30" t="s">
        <v>6</v>
      </c>
      <c r="C168" s="32">
        <v>102320595</v>
      </c>
      <c r="D168" s="51" t="s">
        <v>165</v>
      </c>
      <c r="E168" s="18"/>
      <c r="F168" s="33"/>
      <c r="G168" s="18"/>
    </row>
    <row r="169" spans="1:9" x14ac:dyDescent="0.3">
      <c r="A169" s="5">
        <v>163</v>
      </c>
      <c r="B169" s="30" t="s">
        <v>211</v>
      </c>
      <c r="C169" s="32">
        <v>102421124</v>
      </c>
      <c r="D169" s="52" t="s">
        <v>165</v>
      </c>
      <c r="E169" s="18"/>
      <c r="F169" s="8"/>
      <c r="G169" s="24" t="s">
        <v>188</v>
      </c>
    </row>
    <row r="170" spans="1:9" x14ac:dyDescent="0.3">
      <c r="A170" s="5">
        <v>164</v>
      </c>
      <c r="B170" s="30" t="s">
        <v>57</v>
      </c>
      <c r="C170" s="32">
        <v>102320616</v>
      </c>
      <c r="D170" s="52" t="s">
        <v>168</v>
      </c>
      <c r="E170" s="25" t="s">
        <v>190</v>
      </c>
      <c r="F170" s="7" t="s">
        <v>180</v>
      </c>
      <c r="G170" s="19">
        <v>46134</v>
      </c>
      <c r="I170">
        <v>4</v>
      </c>
    </row>
    <row r="171" spans="1:9" x14ac:dyDescent="0.3">
      <c r="A171" s="5">
        <v>165</v>
      </c>
      <c r="B171" s="30" t="s">
        <v>58</v>
      </c>
      <c r="C171" s="32">
        <v>102320621</v>
      </c>
      <c r="D171" s="52" t="s">
        <v>168</v>
      </c>
      <c r="E171" s="25"/>
      <c r="F171" s="7" t="s">
        <v>192</v>
      </c>
      <c r="G171" s="18" t="s">
        <v>196</v>
      </c>
      <c r="I171">
        <v>4</v>
      </c>
    </row>
    <row r="172" spans="1:9" x14ac:dyDescent="0.3">
      <c r="A172" s="5">
        <v>166</v>
      </c>
      <c r="B172" s="30" t="s">
        <v>105</v>
      </c>
      <c r="C172" s="32">
        <v>102320626</v>
      </c>
      <c r="D172" s="52" t="s">
        <v>168</v>
      </c>
      <c r="E172" s="25"/>
      <c r="F172" s="7"/>
      <c r="G172" s="18"/>
    </row>
    <row r="173" spans="1:9" x14ac:dyDescent="0.3">
      <c r="A173" s="5">
        <v>167</v>
      </c>
      <c r="B173" s="30" t="s">
        <v>129</v>
      </c>
      <c r="C173" s="32">
        <v>102320661</v>
      </c>
      <c r="D173" s="52" t="s">
        <v>166</v>
      </c>
      <c r="E173" s="27"/>
      <c r="F173" s="9"/>
      <c r="G173" s="21"/>
    </row>
    <row r="174" spans="1:9" x14ac:dyDescent="0.3">
      <c r="F174" t="s">
        <v>212</v>
      </c>
    </row>
    <row r="175" spans="1:9" x14ac:dyDescent="0.3">
      <c r="F175" t="s">
        <v>205</v>
      </c>
    </row>
    <row r="178" spans="6:6" x14ac:dyDescent="0.3">
      <c r="F178" t="s">
        <v>180</v>
      </c>
    </row>
    <row r="179" spans="6:6" x14ac:dyDescent="0.3">
      <c r="F179" t="s">
        <v>183</v>
      </c>
    </row>
  </sheetData>
  <mergeCells count="5">
    <mergeCell ref="A1:G1"/>
    <mergeCell ref="A5:G5"/>
    <mergeCell ref="A2:G2"/>
    <mergeCell ref="A3:G3"/>
    <mergeCell ref="A4:G4"/>
  </mergeCells>
  <pageMargins left="1.5748031496062993" right="1.1811023622047245" top="0.39370078740157483" bottom="0.3937007874015748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H15" sqref="H15"/>
    </sheetView>
  </sheetViews>
  <sheetFormatPr defaultRowHeight="14.4" x14ac:dyDescent="0.3"/>
  <cols>
    <col min="1" max="1" width="5.88671875" customWidth="1"/>
    <col min="2" max="2" width="24.5546875" customWidth="1"/>
    <col min="4" max="4" width="10.21875" customWidth="1"/>
    <col min="5" max="5" width="10.6640625" customWidth="1"/>
    <col min="7" max="7" width="16.77734375" customWidth="1"/>
    <col min="8" max="8" width="10.109375" bestFit="1" customWidth="1"/>
    <col min="11" max="11" width="13.33203125" customWidth="1"/>
    <col min="12" max="12" width="10.109375" bestFit="1" customWidth="1"/>
  </cols>
  <sheetData>
    <row r="1" spans="1:12" ht="15" customHeight="1" x14ac:dyDescent="0.3">
      <c r="A1" s="44" t="s">
        <v>214</v>
      </c>
      <c r="B1" s="44"/>
      <c r="C1" s="44"/>
      <c r="D1" s="44"/>
      <c r="E1" s="44"/>
    </row>
    <row r="2" spans="1:12" ht="19.95" customHeight="1" x14ac:dyDescent="0.3">
      <c r="A2" s="40" t="s">
        <v>0</v>
      </c>
      <c r="B2" s="40" t="s">
        <v>1</v>
      </c>
      <c r="C2" s="40" t="s">
        <v>215</v>
      </c>
      <c r="D2" s="40" t="s">
        <v>216</v>
      </c>
      <c r="E2" s="40" t="s">
        <v>217</v>
      </c>
      <c r="G2" s="41" t="s">
        <v>218</v>
      </c>
      <c r="H2" s="41" t="s">
        <v>220</v>
      </c>
    </row>
    <row r="3" spans="1:12" ht="19.95" customHeight="1" x14ac:dyDescent="0.3">
      <c r="A3" s="14">
        <v>1</v>
      </c>
      <c r="B3" s="38" t="s">
        <v>180</v>
      </c>
      <c r="C3" s="14">
        <v>4</v>
      </c>
      <c r="D3" s="14">
        <v>20</v>
      </c>
      <c r="E3" s="39">
        <f>D3*75000</f>
        <v>1500000</v>
      </c>
      <c r="G3" t="s">
        <v>219</v>
      </c>
      <c r="H3" s="37">
        <f>D14*100000</f>
        <v>16700000</v>
      </c>
    </row>
    <row r="4" spans="1:12" ht="19.95" customHeight="1" x14ac:dyDescent="0.3">
      <c r="A4" s="14">
        <v>2</v>
      </c>
      <c r="B4" s="38" t="s">
        <v>192</v>
      </c>
      <c r="C4" s="14">
        <v>4</v>
      </c>
      <c r="D4" s="14">
        <v>20</v>
      </c>
      <c r="E4" s="39">
        <f t="shared" ref="E4:E14" si="0">D4*75000</f>
        <v>1500000</v>
      </c>
      <c r="G4" s="46" t="s">
        <v>221</v>
      </c>
      <c r="H4" s="47">
        <f>D14*30000</f>
        <v>5010000</v>
      </c>
      <c r="J4" t="s">
        <v>228</v>
      </c>
      <c r="L4" s="37">
        <f>H5-E14-L5-L6-L7-L8-L9-L10-L11</f>
        <v>3288000</v>
      </c>
    </row>
    <row r="5" spans="1:12" ht="19.95" customHeight="1" x14ac:dyDescent="0.3">
      <c r="A5" s="14">
        <v>3</v>
      </c>
      <c r="B5" s="38" t="s">
        <v>202</v>
      </c>
      <c r="C5" s="14">
        <v>3</v>
      </c>
      <c r="D5" s="14">
        <v>15</v>
      </c>
      <c r="E5" s="39">
        <f t="shared" si="0"/>
        <v>1125000</v>
      </c>
      <c r="G5" t="s">
        <v>222</v>
      </c>
      <c r="H5" s="37">
        <f>D14*120000</f>
        <v>20040000</v>
      </c>
      <c r="J5" t="s">
        <v>223</v>
      </c>
      <c r="K5" t="s">
        <v>224</v>
      </c>
      <c r="L5" s="37">
        <f>43*25000</f>
        <v>1075000</v>
      </c>
    </row>
    <row r="6" spans="1:12" ht="19.95" customHeight="1" x14ac:dyDescent="0.3">
      <c r="A6" s="14">
        <v>4</v>
      </c>
      <c r="B6" s="38" t="s">
        <v>175</v>
      </c>
      <c r="C6" s="14">
        <v>3</v>
      </c>
      <c r="D6" s="14">
        <v>15</v>
      </c>
      <c r="E6" s="39">
        <f t="shared" si="0"/>
        <v>1125000</v>
      </c>
      <c r="G6" t="s">
        <v>220</v>
      </c>
      <c r="H6" s="37">
        <f>SUM(H3:H5)</f>
        <v>41750000</v>
      </c>
      <c r="K6" t="s">
        <v>225</v>
      </c>
      <c r="L6" s="37">
        <f>43*10000</f>
        <v>430000</v>
      </c>
    </row>
    <row r="7" spans="1:12" ht="19.95" customHeight="1" x14ac:dyDescent="0.3">
      <c r="A7" s="14">
        <v>5</v>
      </c>
      <c r="B7" s="38" t="s">
        <v>174</v>
      </c>
      <c r="C7" s="14">
        <v>3</v>
      </c>
      <c r="D7" s="14">
        <v>15</v>
      </c>
      <c r="E7" s="39">
        <f t="shared" si="0"/>
        <v>1125000</v>
      </c>
      <c r="H7" s="37"/>
      <c r="K7" t="s">
        <v>226</v>
      </c>
      <c r="L7" s="37">
        <f>43*4000</f>
        <v>172000</v>
      </c>
    </row>
    <row r="8" spans="1:12" ht="19.95" customHeight="1" x14ac:dyDescent="0.3">
      <c r="A8" s="14">
        <v>6</v>
      </c>
      <c r="B8" s="38" t="s">
        <v>179</v>
      </c>
      <c r="C8" s="14">
        <v>3</v>
      </c>
      <c r="D8" s="14">
        <v>15</v>
      </c>
      <c r="E8" s="39">
        <f t="shared" si="0"/>
        <v>1125000</v>
      </c>
      <c r="K8" t="s">
        <v>227</v>
      </c>
      <c r="L8" s="37">
        <v>100000</v>
      </c>
    </row>
    <row r="9" spans="1:12" ht="19.95" customHeight="1" x14ac:dyDescent="0.3">
      <c r="A9" s="14">
        <v>7</v>
      </c>
      <c r="B9" s="38" t="s">
        <v>177</v>
      </c>
      <c r="C9" s="14">
        <v>3</v>
      </c>
      <c r="D9" s="14">
        <v>15</v>
      </c>
      <c r="E9" s="39">
        <f t="shared" si="0"/>
        <v>1125000</v>
      </c>
      <c r="K9" t="s">
        <v>229</v>
      </c>
      <c r="L9" s="37">
        <v>1250000</v>
      </c>
    </row>
    <row r="10" spans="1:12" ht="19.95" customHeight="1" x14ac:dyDescent="0.3">
      <c r="A10" s="14">
        <v>8</v>
      </c>
      <c r="B10" s="38" t="s">
        <v>171</v>
      </c>
      <c r="C10" s="14">
        <v>3</v>
      </c>
      <c r="D10" s="14">
        <v>15</v>
      </c>
      <c r="E10" s="39">
        <f t="shared" si="0"/>
        <v>1125000</v>
      </c>
      <c r="K10" t="s">
        <v>230</v>
      </c>
      <c r="L10" s="37">
        <v>1000000</v>
      </c>
    </row>
    <row r="11" spans="1:12" ht="19.95" customHeight="1" x14ac:dyDescent="0.3">
      <c r="A11" s="14">
        <v>9</v>
      </c>
      <c r="B11" s="38" t="s">
        <v>176</v>
      </c>
      <c r="C11" s="14">
        <v>3</v>
      </c>
      <c r="D11" s="14">
        <v>14</v>
      </c>
      <c r="E11" s="39">
        <f t="shared" si="0"/>
        <v>1050000</v>
      </c>
      <c r="K11" t="s">
        <v>231</v>
      </c>
      <c r="L11" s="37">
        <v>200000</v>
      </c>
    </row>
    <row r="12" spans="1:12" ht="19.95" customHeight="1" x14ac:dyDescent="0.3">
      <c r="A12" s="14">
        <v>10</v>
      </c>
      <c r="B12" s="38" t="s">
        <v>173</v>
      </c>
      <c r="C12" s="14">
        <v>3</v>
      </c>
      <c r="D12" s="14">
        <v>13</v>
      </c>
      <c r="E12" s="39">
        <f t="shared" si="0"/>
        <v>975000</v>
      </c>
    </row>
    <row r="13" spans="1:12" ht="19.95" customHeight="1" x14ac:dyDescent="0.3">
      <c r="A13" s="14">
        <v>11</v>
      </c>
      <c r="B13" s="38" t="s">
        <v>178</v>
      </c>
      <c r="C13" s="14">
        <v>2</v>
      </c>
      <c r="D13" s="14">
        <v>10</v>
      </c>
      <c r="E13" s="39">
        <f t="shared" si="0"/>
        <v>750000</v>
      </c>
    </row>
    <row r="14" spans="1:12" ht="19.95" customHeight="1" x14ac:dyDescent="0.3">
      <c r="A14" s="45" t="s">
        <v>214</v>
      </c>
      <c r="B14" s="45"/>
      <c r="C14" s="45"/>
      <c r="D14" s="40">
        <f>SUM(D3:D13)</f>
        <v>167</v>
      </c>
      <c r="E14" s="39">
        <f t="shared" si="0"/>
        <v>12525000</v>
      </c>
    </row>
    <row r="15" spans="1:12" x14ac:dyDescent="0.3">
      <c r="E15" s="39"/>
    </row>
    <row r="16" spans="1:12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</sheetData>
  <sortState ref="A1:B35">
    <sortCondition ref="A1:A35"/>
  </sortState>
  <mergeCells count="2">
    <mergeCell ref="A1:E1"/>
    <mergeCell ref="A14:C14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J18" sqref="J18"/>
    </sheetView>
  </sheetViews>
  <sheetFormatPr defaultRowHeight="14.4" x14ac:dyDescent="0.3"/>
  <cols>
    <col min="1" max="1" width="5.21875" customWidth="1"/>
    <col min="2" max="2" width="24.33203125" customWidth="1"/>
    <col min="3" max="3" width="13" customWidth="1"/>
    <col min="5" max="5" width="11" customWidth="1"/>
    <col min="6" max="6" width="21.33203125" customWidth="1"/>
  </cols>
  <sheetData>
    <row r="1" spans="1:7" ht="21" x14ac:dyDescent="0.4">
      <c r="A1" s="55" t="s">
        <v>232</v>
      </c>
      <c r="B1" s="55"/>
      <c r="C1" s="55"/>
      <c r="D1" s="55"/>
      <c r="E1" s="55"/>
      <c r="F1" s="55"/>
      <c r="G1" s="56"/>
    </row>
    <row r="2" spans="1:7" x14ac:dyDescent="0.3">
      <c r="A2" t="s">
        <v>236</v>
      </c>
      <c r="B2" t="s">
        <v>186</v>
      </c>
      <c r="E2" t="s">
        <v>237</v>
      </c>
      <c r="F2" s="58">
        <v>46125</v>
      </c>
    </row>
    <row r="3" spans="1:7" ht="19.95" customHeight="1" x14ac:dyDescent="0.3">
      <c r="A3" s="54" t="s">
        <v>0</v>
      </c>
      <c r="B3" s="54" t="s">
        <v>1</v>
      </c>
      <c r="C3" s="54" t="s">
        <v>207</v>
      </c>
      <c r="D3" s="54" t="s">
        <v>233</v>
      </c>
      <c r="E3" s="54" t="s">
        <v>234</v>
      </c>
      <c r="F3" s="54" t="s">
        <v>235</v>
      </c>
    </row>
    <row r="4" spans="1:7" ht="19.95" customHeight="1" x14ac:dyDescent="0.3">
      <c r="A4" s="54">
        <v>1</v>
      </c>
      <c r="B4" s="1"/>
      <c r="C4" s="1"/>
      <c r="D4" s="1"/>
      <c r="E4" s="53" t="s">
        <v>238</v>
      </c>
      <c r="F4" s="1"/>
    </row>
    <row r="5" spans="1:7" ht="19.95" customHeight="1" x14ac:dyDescent="0.3">
      <c r="A5" s="54">
        <v>2</v>
      </c>
      <c r="B5" s="1"/>
      <c r="C5" s="1"/>
      <c r="D5" s="1"/>
      <c r="E5" s="53" t="s">
        <v>239</v>
      </c>
      <c r="F5" s="1"/>
    </row>
    <row r="6" spans="1:7" ht="19.95" customHeight="1" x14ac:dyDescent="0.3">
      <c r="A6" s="54">
        <v>3</v>
      </c>
      <c r="B6" s="1"/>
      <c r="C6" s="1"/>
      <c r="D6" s="1"/>
      <c r="E6" s="53" t="s">
        <v>240</v>
      </c>
      <c r="F6" s="1"/>
    </row>
    <row r="7" spans="1:7" ht="19.95" customHeight="1" x14ac:dyDescent="0.3">
      <c r="A7" s="54">
        <v>4</v>
      </c>
      <c r="B7" s="1"/>
      <c r="C7" s="1"/>
      <c r="D7" s="1"/>
      <c r="E7" s="53" t="s">
        <v>241</v>
      </c>
      <c r="F7" s="1"/>
    </row>
    <row r="8" spans="1:7" ht="19.95" customHeight="1" x14ac:dyDescent="0.3">
      <c r="A8" s="54">
        <v>5</v>
      </c>
      <c r="B8" s="1"/>
      <c r="C8" s="1"/>
      <c r="D8" s="1"/>
      <c r="E8" s="53" t="s">
        <v>242</v>
      </c>
      <c r="F8" s="1"/>
    </row>
    <row r="9" spans="1:7" ht="19.95" customHeight="1" x14ac:dyDescent="0.3">
      <c r="A9" s="54">
        <v>6</v>
      </c>
      <c r="B9" s="1"/>
      <c r="C9" s="1"/>
      <c r="D9" s="1"/>
      <c r="E9" s="53" t="s">
        <v>243</v>
      </c>
      <c r="F9" s="1"/>
    </row>
    <row r="10" spans="1:7" ht="19.95" customHeight="1" x14ac:dyDescent="0.3">
      <c r="A10" s="54">
        <v>7</v>
      </c>
      <c r="B10" s="1"/>
      <c r="C10" s="1"/>
      <c r="D10" s="1"/>
      <c r="E10" s="53" t="s">
        <v>244</v>
      </c>
      <c r="F10" s="1"/>
    </row>
    <row r="11" spans="1:7" ht="19.95" customHeight="1" x14ac:dyDescent="0.3">
      <c r="A11" s="54">
        <v>8</v>
      </c>
      <c r="B11" s="1"/>
      <c r="C11" s="1"/>
      <c r="D11" s="1"/>
      <c r="E11" s="53" t="s">
        <v>245</v>
      </c>
      <c r="F11" s="1"/>
    </row>
    <row r="12" spans="1:7" ht="19.95" customHeight="1" x14ac:dyDescent="0.3">
      <c r="A12" s="54">
        <v>9</v>
      </c>
      <c r="B12" s="1"/>
      <c r="C12" s="1"/>
      <c r="D12" s="1"/>
      <c r="E12" s="53" t="s">
        <v>246</v>
      </c>
      <c r="F12" s="1"/>
    </row>
    <row r="13" spans="1:7" ht="19.95" customHeight="1" x14ac:dyDescent="0.3">
      <c r="A13" s="54">
        <v>10</v>
      </c>
      <c r="B13" s="1"/>
      <c r="C13" s="1"/>
      <c r="D13" s="1"/>
      <c r="E13" s="53" t="s">
        <v>247</v>
      </c>
      <c r="F13" s="1"/>
    </row>
    <row r="14" spans="1:7" ht="19.95" customHeight="1" x14ac:dyDescent="0.3">
      <c r="A14" s="54">
        <v>11</v>
      </c>
      <c r="B14" s="1"/>
      <c r="C14" s="1"/>
      <c r="D14" s="1"/>
      <c r="E14" s="54" t="s">
        <v>238</v>
      </c>
      <c r="F14" s="1"/>
    </row>
    <row r="15" spans="1:7" ht="19.95" customHeight="1" x14ac:dyDescent="0.3">
      <c r="A15" s="54">
        <v>12</v>
      </c>
      <c r="B15" s="1"/>
      <c r="C15" s="1"/>
      <c r="D15" s="1"/>
      <c r="E15" s="54" t="s">
        <v>239</v>
      </c>
      <c r="F15" s="1"/>
    </row>
    <row r="16" spans="1:7" ht="19.95" customHeight="1" x14ac:dyDescent="0.3">
      <c r="A16" s="54">
        <v>13</v>
      </c>
      <c r="B16" s="1"/>
      <c r="C16" s="1"/>
      <c r="D16" s="1"/>
      <c r="E16" s="54" t="s">
        <v>240</v>
      </c>
      <c r="F16" s="1"/>
    </row>
    <row r="17" spans="1:6" ht="19.95" customHeight="1" x14ac:dyDescent="0.3">
      <c r="A17" s="54">
        <v>14</v>
      </c>
      <c r="B17" s="1"/>
      <c r="C17" s="1"/>
      <c r="D17" s="1"/>
      <c r="E17" s="54" t="s">
        <v>241</v>
      </c>
      <c r="F17" s="1"/>
    </row>
    <row r="18" spans="1:6" ht="19.95" customHeight="1" x14ac:dyDescent="0.3">
      <c r="A18" s="54">
        <v>15</v>
      </c>
      <c r="B18" s="1"/>
      <c r="C18" s="1"/>
      <c r="D18" s="1"/>
      <c r="E18" s="54" t="s">
        <v>242</v>
      </c>
      <c r="F18" s="1"/>
    </row>
    <row r="19" spans="1:6" ht="19.95" customHeight="1" x14ac:dyDescent="0.3">
      <c r="A19" s="54">
        <v>16</v>
      </c>
      <c r="B19" s="1"/>
      <c r="C19" s="1"/>
      <c r="D19" s="1"/>
      <c r="E19" s="54" t="s">
        <v>243</v>
      </c>
      <c r="F19" s="1"/>
    </row>
    <row r="20" spans="1:6" ht="19.95" customHeight="1" x14ac:dyDescent="0.3">
      <c r="A20" s="54">
        <v>17</v>
      </c>
      <c r="B20" s="1"/>
      <c r="C20" s="1"/>
      <c r="D20" s="1"/>
      <c r="E20" s="54" t="s">
        <v>244</v>
      </c>
      <c r="F20" s="1"/>
    </row>
    <row r="21" spans="1:6" ht="19.95" customHeight="1" x14ac:dyDescent="0.3">
      <c r="A21" s="54">
        <v>18</v>
      </c>
      <c r="B21" s="1"/>
      <c r="C21" s="1"/>
      <c r="D21" s="1"/>
      <c r="E21" s="54" t="s">
        <v>245</v>
      </c>
      <c r="F21" s="1"/>
    </row>
    <row r="22" spans="1:6" ht="19.95" customHeight="1" x14ac:dyDescent="0.3">
      <c r="A22" s="54">
        <v>19</v>
      </c>
      <c r="B22" s="1"/>
      <c r="C22" s="1"/>
      <c r="D22" s="1"/>
      <c r="E22" s="54" t="s">
        <v>246</v>
      </c>
      <c r="F22" s="1"/>
    </row>
    <row r="23" spans="1:6" ht="19.95" customHeight="1" x14ac:dyDescent="0.3">
      <c r="A23" s="54">
        <v>20</v>
      </c>
      <c r="B23" s="1"/>
      <c r="C23" s="1"/>
      <c r="D23" s="1"/>
      <c r="E23" s="54" t="s">
        <v>247</v>
      </c>
      <c r="F23" s="1"/>
    </row>
    <row r="24" spans="1:6" ht="15.6" x14ac:dyDescent="0.3">
      <c r="E24" s="57" t="s">
        <v>248</v>
      </c>
    </row>
    <row r="25" spans="1:6" ht="15.6" x14ac:dyDescent="0.3">
      <c r="E25" s="57" t="s">
        <v>249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JADWAL</vt:lpstr>
      <vt:lpstr>HONOR</vt:lpstr>
      <vt:lpstr>dafat Mesin</vt:lpstr>
      <vt:lpstr>JADWAL!Print_Area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AyahHaHuChfzo</dc:creator>
  <cp:lastModifiedBy>AyahHaHuChfzo</cp:lastModifiedBy>
  <cp:lastPrinted>2026-04-09T23:58:57Z</cp:lastPrinted>
  <dcterms:created xsi:type="dcterms:W3CDTF">2025-12-02T02:33:33Z</dcterms:created>
  <dcterms:modified xsi:type="dcterms:W3CDTF">2026-04-10T00:36:59Z</dcterms:modified>
</cp:coreProperties>
</file>